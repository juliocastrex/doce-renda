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edidos" sheetId="2" state="visible" r:id="rId4"/>
    <sheet name="Clientes" sheetId="3" state="visible" r:id="rId5"/>
    <sheet name="Como Usa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6" authorId="0">
      <text>
        <r>
          <rPr>
            <sz val="10"/>
            <rFont val="Arial"/>
            <family val="2"/>
          </rPr>
          <t xml:space="preserve">Escolha: Pago / Pendente / Parcial / Cancelado</t>
        </r>
      </text>
    </comment>
    <comment ref="L6" authorId="0">
      <text>
        <r>
          <rPr>
            <sz val="10"/>
            <rFont val="Arial"/>
            <family val="2"/>
          </rPr>
          <t xml:space="preserve">Escolha: PIX / Dinheiro / Cartão / Transferência</t>
        </r>
      </text>
    </comment>
  </commentList>
</comments>
</file>

<file path=xl/sharedStrings.xml><?xml version="1.0" encoding="utf-8"?>
<sst xmlns="http://schemas.openxmlformats.org/spreadsheetml/2006/main" count="49" uniqueCount="46">
  <si>
    <t xml:space="preserve">🍰 PAINEL DE CONTROLE - DOCERIA</t>
  </si>
  <si>
    <t xml:space="preserve">Resumo automático dos seus pedidos</t>
  </si>
  <si>
    <t xml:space="preserve">💰 A RECEBER</t>
  </si>
  <si>
    <t xml:space="preserve">✅ JÁ RECEBI</t>
  </si>
  <si>
    <t xml:space="preserve">📦 PEDIDOS</t>
  </si>
  <si>
    <t xml:space="preserve">💎 FATURAMENTO</t>
  </si>
  <si>
    <t xml:space="preserve">📅 PRÓXIMAS ENTREGAS (7 DIAS)</t>
  </si>
  <si>
    <t xml:space="preserve">Data</t>
  </si>
  <si>
    <t xml:space="preserve">Cliente</t>
  </si>
  <si>
    <t xml:space="preserve">Produto</t>
  </si>
  <si>
    <t xml:space="preserve">Valor</t>
  </si>
  <si>
    <t xml:space="preserve">🍰 CONTROLE DE PEDIDOS</t>
  </si>
  <si>
    <t xml:space="preserve">Preencha uma linha pra cada pedido. As colunas com lista (Status, Forma Pagto) já têm opções prontas.</t>
  </si>
  <si>
    <t xml:space="preserve">Nº</t>
  </si>
  <si>
    <t xml:space="preserve">WhatsApp</t>
  </si>
  <si>
    <t xml:space="preserve">Produto / Sabor</t>
  </si>
  <si>
    <t xml:space="preserve">Qtd</t>
  </si>
  <si>
    <t xml:space="preserve">Data Entrega</t>
  </si>
  <si>
    <t xml:space="preserve">Valor Total</t>
  </si>
  <si>
    <t xml:space="preserve">Status Pagto</t>
  </si>
  <si>
    <t xml:space="preserve">Valor Pago</t>
  </si>
  <si>
    <t xml:space="preserve">Falta</t>
  </si>
  <si>
    <t xml:space="preserve">Forma Pagto</t>
  </si>
  <si>
    <t xml:space="preserve">Observações</t>
  </si>
  <si>
    <t xml:space="preserve">TOTAIS:</t>
  </si>
  <si>
    <t xml:space="preserve">👥 CADERNO DE CLIENTES</t>
  </si>
  <si>
    <t xml:space="preserve">Cadastre seus clientes pra não precisar redigitar</t>
  </si>
  <si>
    <t xml:space="preserve">Nome</t>
  </si>
  <si>
    <t xml:space="preserve">Endereço</t>
  </si>
  <si>
    <t xml:space="preserve">Aniversário</t>
  </si>
  <si>
    <t xml:space="preserve">Sabor Favorito</t>
  </si>
  <si>
    <t xml:space="preserve">📖 COMO USAR ESTA PLANILHA</t>
  </si>
  <si>
    <t xml:space="preserve">1. ANOTAR UM PEDIDO NOVO</t>
  </si>
  <si>
    <t xml:space="preserve">Vai na aba PEDIDOS e preenche uma linha de cada vez. O número do pedido aparece sozinho. Nas colunas Status Pagto e Forma Pagto tem listinha pronta, só clicar na setinha.</t>
  </si>
  <si>
    <t xml:space="preserve">2. COMO MARCAR PAGAMENTOS</t>
  </si>
  <si>
    <t xml:space="preserve">• PAGO: cliente já quitou tudo (fica verde)
• PENDENTE: ainda não pagou nada (fica amarelo)
• PARCIAL: pagou só uma parte. Preenche a coluna 'Valor Pago' com o que recebeu. A coluna 'Falta' calcula sozinha.
• CANCELADO: pedido cancelado</t>
  </si>
  <si>
    <t xml:space="preserve">3. CORES AUTOMÁTICAS</t>
  </si>
  <si>
    <t xml:space="preserve">• Data ROSA = entrega é hoje 🚨
• Data VERMELHA = passou da data e não foi entregue/pago
• Status muda de cor sozinho conforme você seleciona</t>
  </si>
  <si>
    <t xml:space="preserve">4. DASHBOARD</t>
  </si>
  <si>
    <t xml:space="preserve">A aba Dashboard mostra automático: quanto você tem a receber, quanto já recebeu, quantos pedidos no total e as próximas 7 entregas. Não precisa preencher nada, ela puxa da aba Pedidos.</t>
  </si>
  <si>
    <t xml:space="preserve">5. CLIENTES</t>
  </si>
  <si>
    <t xml:space="preserve">Use a aba Clientes pra guardar contatos dos clientes que pedem com frequência. Aniversário é ótimo pra mandar uma mensagem e oferecer um bolo.</t>
  </si>
  <si>
    <t xml:space="preserve">6. DICAS QUE FAZEM DIFERENÇA</t>
  </si>
  <si>
    <t xml:space="preserve">• Toda noite olha o Dashboard pra ver entregas de amanhã
• Marque pagamentos no mesmo dia, senão esquece
• Use a coluna Observações pra anotar detalhes (sem lactose, recheio extra, etc)
• Quando bater no pedido 50, é só copiar uma linha vazia pra baixo e a formatação se mantém</t>
  </si>
  <si>
    <t xml:space="preserve">💡 DÚVIDA?</t>
  </si>
  <si>
    <t xml:space="preserve">Se quiser ajustar alguma coisa (cor, coluna nova, fórmula), pode pedir!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</si>
</sst>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"/>
    <numFmt numFmtId="166" formatCode="General"/>
    <numFmt numFmtId="167" formatCode="dd/mm/yyyy"/>
    <numFmt numFmtId="168" formatCode="dd/mm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424242"/>
      <name val="Arial"/>
      <family val="0"/>
      <charset val="1"/>
    </font>
    <font>
      <b val="true"/>
      <sz val="10"/>
      <color rgb="FF424242"/>
      <name val="Arial"/>
      <family val="0"/>
      <charset val="1"/>
    </font>
    <font>
      <b val="true"/>
      <sz val="20"/>
      <color rgb="FFC2185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424242"/>
      <name val="Arial"/>
      <family val="0"/>
      <charset val="1"/>
    </font>
    <font>
      <i val="true"/>
      <sz val="10"/>
      <color rgb="FF424242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2"/>
    </font>
    <font>
      <b val="true"/>
      <sz val="13"/>
      <color rgb="FFC2185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2185B"/>
        <bgColor rgb="FFC62828"/>
      </patternFill>
    </fill>
    <fill>
      <patternFill patternType="solid">
        <fgColor rgb="FFFCE4EC"/>
        <bgColor rgb="FFE0E0E0"/>
      </patternFill>
    </fill>
    <fill>
      <patternFill patternType="solid">
        <fgColor rgb="FFF8BBD0"/>
        <bgColor rgb="FFFFCDD2"/>
      </patternFill>
    </fill>
    <fill>
      <patternFill patternType="solid">
        <fgColor rgb="FFFFFFFF"/>
        <bgColor rgb="FFFFF9C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2E7D32"/>
        <sz val="11"/>
      </font>
      <fill>
        <patternFill>
          <bgColor rgb="FFC8E6C9"/>
        </patternFill>
      </fill>
    </dxf>
    <dxf>
      <font>
        <name val="Arial"/>
        <charset val="1"/>
        <family val="0"/>
        <b val="1"/>
        <color rgb="FFF57F17"/>
        <sz val="11"/>
      </font>
      <fill>
        <patternFill>
          <bgColor rgb="FFFFF9C4"/>
        </patternFill>
      </fill>
    </dxf>
    <dxf>
      <font>
        <name val="Arial"/>
        <charset val="1"/>
        <family val="0"/>
        <b val="1"/>
        <color rgb="FFE65100"/>
        <sz val="11"/>
      </font>
      <fill>
        <patternFill>
          <bgColor rgb="FFFFE0B2"/>
        </patternFill>
      </fill>
    </dxf>
    <dxf>
      <font>
        <name val="Arial"/>
        <charset val="1"/>
        <family val="0"/>
        <i val="1"/>
        <color rgb="FF616161"/>
        <sz val="11"/>
      </font>
      <fill>
        <patternFill>
          <bgColor rgb="FFE0E0E0"/>
        </patternFill>
      </fill>
    </dxf>
    <dxf>
      <font>
        <name val="Arial"/>
        <charset val="1"/>
        <family val="0"/>
        <b val="1"/>
        <color rgb="FFC62828"/>
        <sz val="11"/>
      </font>
      <fill>
        <patternFill>
          <bgColor rgb="FFFFCDD2"/>
        </patternFill>
      </fill>
    </dxf>
    <dxf>
      <font>
        <name val="Arial"/>
        <charset val="1"/>
        <family val="0"/>
        <b val="1"/>
        <color rgb="FF880E4F"/>
        <sz val="11"/>
      </font>
      <fill>
        <patternFill>
          <bgColor rgb="FFF8BBD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80E4F"/>
      <rgbColor rgb="FF008080"/>
      <rgbColor rgb="FFFFCDD2"/>
      <rgbColor rgb="FF808080"/>
      <rgbColor rgb="FF9999FF"/>
      <rgbColor rgb="FFC2185B"/>
      <rgbColor rgb="FFFFF9C4"/>
      <rgbColor rgb="FFFCE4EC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8BBD0"/>
      <rgbColor rgb="FFCC99FF"/>
      <rgbColor rgb="FFFFE0B2"/>
      <rgbColor rgb="FF3366FF"/>
      <rgbColor rgb="FF33CCCC"/>
      <rgbColor rgb="FF99CC00"/>
      <rgbColor rgb="FFFFCC00"/>
      <rgbColor rgb="FFF57F17"/>
      <rgbColor rgb="FFE65100"/>
      <rgbColor rgb="FF616161"/>
      <rgbColor rgb="FF969696"/>
      <rgbColor rgb="FF003366"/>
      <rgbColor rgb="FF2E7D32"/>
      <rgbColor rgb="FF003300"/>
      <rgbColor rgb="FF333300"/>
      <rgbColor rgb="FFC62828"/>
      <rgbColor rgb="FF993366"/>
      <rgbColor rgb="FF333399"/>
      <rgbColor rgb="FF4242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5" min="2" style="0" width="22"/>
    <col collapsed="false" customWidth="true" hidden="false" outlineLevel="0" max="6" min="6" style="0" width="2"/>
  </cols>
  <sheetData>
    <row r="2" customFormat="false" ht="24.75" hidden="false" customHeight="true" outlineLevel="0" collapsed="false">
      <c r="B2" s="1" t="s">
        <v>0</v>
      </c>
      <c r="C2" s="1"/>
      <c r="D2" s="1"/>
      <c r="E2" s="1"/>
    </row>
    <row r="3" customFormat="false" ht="24.75" hidden="false" customHeight="true" outlineLevel="0" collapsed="false">
      <c r="B3" s="1"/>
      <c r="C3" s="1"/>
      <c r="D3" s="1"/>
      <c r="E3" s="1"/>
    </row>
    <row r="4" customFormat="false" ht="21.75" hidden="false" customHeight="true" outlineLevel="0" collapsed="false">
      <c r="B4" s="2" t="s">
        <v>1</v>
      </c>
      <c r="C4" s="2"/>
      <c r="D4" s="2"/>
      <c r="E4" s="2"/>
    </row>
    <row r="6" customFormat="false" ht="21.75" hidden="false" customHeight="true" outlineLevel="0" collapsed="false">
      <c r="B6" s="3" t="s">
        <v>2</v>
      </c>
      <c r="C6" s="3" t="s">
        <v>3</v>
      </c>
      <c r="D6" s="3" t="s">
        <v>4</v>
      </c>
      <c r="E6" s="3" t="s">
        <v>5</v>
      </c>
    </row>
    <row r="7" customFormat="false" ht="34.5" hidden="false" customHeight="true" outlineLevel="0" collapsed="false">
      <c r="B7" s="4" t="n">
        <f aca="false">SUMIFS(Pedidos!H:H,Pedidos!I:I,"Pendente")+SUMIFS(Pedidos!H:H,Pedidos!I:I,"Parcial",Pedidos!J:J,"&lt;&gt;"&amp;"")-SUMIFS(Pedidos!J:J,Pedidos!I:I,"Parcial")</f>
        <v>0</v>
      </c>
      <c r="C7" s="4" t="n">
        <f aca="false">SUMIFS(Pedidos!H:H,Pedidos!I:I,"Pago")+SUMIFS(Pedidos!J:J,Pedidos!I:I,"Parcial")</f>
        <v>0</v>
      </c>
      <c r="D7" s="5" t="n">
        <f aca="false">COUNTA(Pedidos!B:B)-1</f>
        <v>53</v>
      </c>
      <c r="E7" s="4" t="n">
        <f aca="false">SUM(Pedidos!H:H)</f>
        <v>0</v>
      </c>
    </row>
    <row r="8" customFormat="false" ht="9.75" hidden="false" customHeight="true" outlineLevel="0" collapsed="false"/>
    <row r="9" customFormat="false" ht="15" hidden="false" customHeight="true" outlineLevel="0" collapsed="false"/>
    <row r="10" customFormat="false" ht="27.75" hidden="false" customHeight="true" outlineLevel="0" collapsed="false">
      <c r="B10" s="6" t="s">
        <v>6</v>
      </c>
      <c r="C10" s="6"/>
      <c r="D10" s="6"/>
      <c r="E10" s="6"/>
    </row>
    <row r="11" customFormat="false" ht="21.75" hidden="false" customHeight="true" outlineLevel="0" collapsed="false">
      <c r="B11" s="7" t="s">
        <v>7</v>
      </c>
      <c r="C11" s="7" t="s">
        <v>8</v>
      </c>
      <c r="D11" s="7" t="s">
        <v>9</v>
      </c>
      <c r="E11" s="7" t="s">
        <v>10</v>
      </c>
    </row>
    <row r="12" customFormat="false" ht="19.5" hidden="false" customHeight="true" outlineLevel="0" collapsed="false">
      <c r="B12" s="8" t="n">
        <f aca="true">IFERROR(SMALL(IF((Pedidos!G$2:G$1000&gt;=TODAY())*(Pedidos!G$2:G$1000&lt;=TODAY()+7)*((Pedidos!I$2:I$1000="Pendente")+(Pedidos!I$2:I$1000="Parcial"))*(Pedidos!G$2:G$1000&lt;&gt;""),Pedidos!G$2:G$1000),1),"")</f>
        <v>0</v>
      </c>
      <c r="C12" s="9" t="str">
        <f aca="false">IFERROR(INDEX(Pedidos!C:C,MATCH(B12,Pedidos!G:G,0)),"")</f>
        <v/>
      </c>
      <c r="D12" s="10" t="str">
        <f aca="false">IFERROR(INDEX(Pedidos!E:E,MATCH(B12,Pedidos!G:G,0)),"")</f>
        <v/>
      </c>
      <c r="E12" s="11" t="str">
        <f aca="false">IFERROR(INDEX(Pedidos!H:H,MATCH(B12,Pedidos!G:G,0)),"")</f>
        <v/>
      </c>
    </row>
    <row r="13" customFormat="false" ht="19.5" hidden="false" customHeight="true" outlineLevel="0" collapsed="false">
      <c r="B13" s="12" t="str">
        <f aca="true">IFERROR(SMALL(IF((Pedidos!G$2:G$1000&gt;=TODAY())*(Pedidos!G$2:G$1000&lt;=TODAY()+7)*((Pedidos!I$2:I$1000="Pendente")+(Pedidos!I$2:I$1000="Parcial"))*(Pedidos!G$2:G$1000&lt;&gt;""),Pedidos!G$2:G$1000),2),"")</f>
        <v/>
      </c>
      <c r="C13" s="13" t="str">
        <f aca="false">IFERROR(INDEX(Pedidos!C:C,MATCH(B13,Pedidos!G:G,0)),"")</f>
        <v/>
      </c>
      <c r="D13" s="14" t="str">
        <f aca="false">IFERROR(INDEX(Pedidos!E:E,MATCH(B13,Pedidos!G:G,0)),"")</f>
        <v/>
      </c>
      <c r="E13" s="15" t="str">
        <f aca="false">IFERROR(INDEX(Pedidos!H:H,MATCH(B13,Pedidos!G:G,0)),"")</f>
        <v/>
      </c>
    </row>
    <row r="14" customFormat="false" ht="19.5" hidden="false" customHeight="true" outlineLevel="0" collapsed="false">
      <c r="B14" s="8" t="str">
        <f aca="true">IFERROR(SMALL(IF((Pedidos!G$2:G$1000&gt;=TODAY())*(Pedidos!G$2:G$1000&lt;=TODAY()+7)*((Pedidos!I$2:I$1000="Pendente")+(Pedidos!I$2:I$1000="Parcial"))*(Pedidos!G$2:G$1000&lt;&gt;""),Pedidos!G$2:G$1000),3),"")</f>
        <v/>
      </c>
      <c r="C14" s="9" t="str">
        <f aca="false">IFERROR(INDEX(Pedidos!C:C,MATCH(B14,Pedidos!G:G,0)),"")</f>
        <v/>
      </c>
      <c r="D14" s="10" t="str">
        <f aca="false">IFERROR(INDEX(Pedidos!E:E,MATCH(B14,Pedidos!G:G,0)),"")</f>
        <v/>
      </c>
      <c r="E14" s="11" t="str">
        <f aca="false">IFERROR(INDEX(Pedidos!H:H,MATCH(B14,Pedidos!G:G,0)),"")</f>
        <v/>
      </c>
    </row>
    <row r="15" customFormat="false" ht="19.5" hidden="false" customHeight="true" outlineLevel="0" collapsed="false">
      <c r="B15" s="12" t="str">
        <f aca="true">IFERROR(SMALL(IF((Pedidos!G$2:G$1000&gt;=TODAY())*(Pedidos!G$2:G$1000&lt;=TODAY()+7)*((Pedidos!I$2:I$1000="Pendente")+(Pedidos!I$2:I$1000="Parcial"))*(Pedidos!G$2:G$1000&lt;&gt;""),Pedidos!G$2:G$1000),4),"")</f>
        <v/>
      </c>
      <c r="C15" s="13" t="str">
        <f aca="false">IFERROR(INDEX(Pedidos!C:C,MATCH(B15,Pedidos!G:G,0)),"")</f>
        <v/>
      </c>
      <c r="D15" s="14" t="str">
        <f aca="false">IFERROR(INDEX(Pedidos!E:E,MATCH(B15,Pedidos!G:G,0)),"")</f>
        <v/>
      </c>
      <c r="E15" s="15" t="str">
        <f aca="false">IFERROR(INDEX(Pedidos!H:H,MATCH(B15,Pedidos!G:G,0)),"")</f>
        <v/>
      </c>
    </row>
    <row r="16" customFormat="false" ht="19.5" hidden="false" customHeight="true" outlineLevel="0" collapsed="false">
      <c r="B16" s="8" t="str">
        <f aca="true">IFERROR(SMALL(IF((Pedidos!G$2:G$1000&gt;=TODAY())*(Pedidos!G$2:G$1000&lt;=TODAY()+7)*((Pedidos!I$2:I$1000="Pendente")+(Pedidos!I$2:I$1000="Parcial"))*(Pedidos!G$2:G$1000&lt;&gt;""),Pedidos!G$2:G$1000),5),"")</f>
        <v/>
      </c>
      <c r="C16" s="9" t="str">
        <f aca="false">IFERROR(INDEX(Pedidos!C:C,MATCH(B16,Pedidos!G:G,0)),"")</f>
        <v/>
      </c>
      <c r="D16" s="10" t="str">
        <f aca="false">IFERROR(INDEX(Pedidos!E:E,MATCH(B16,Pedidos!G:G,0)),"")</f>
        <v/>
      </c>
      <c r="E16" s="11" t="str">
        <f aca="false">IFERROR(INDEX(Pedidos!H:H,MATCH(B16,Pedidos!G:G,0)),"")</f>
        <v/>
      </c>
    </row>
    <row r="17" customFormat="false" ht="19.5" hidden="false" customHeight="true" outlineLevel="0" collapsed="false">
      <c r="B17" s="12" t="str">
        <f aca="true">IFERROR(SMALL(IF((Pedidos!G$2:G$1000&gt;=TODAY())*(Pedidos!G$2:G$1000&lt;=TODAY()+7)*((Pedidos!I$2:I$1000="Pendente")+(Pedidos!I$2:I$1000="Parcial"))*(Pedidos!G$2:G$1000&lt;&gt;""),Pedidos!G$2:G$1000),6),"")</f>
        <v/>
      </c>
      <c r="C17" s="13" t="str">
        <f aca="false">IFERROR(INDEX(Pedidos!C:C,MATCH(B17,Pedidos!G:G,0)),"")</f>
        <v/>
      </c>
      <c r="D17" s="14" t="str">
        <f aca="false">IFERROR(INDEX(Pedidos!E:E,MATCH(B17,Pedidos!G:G,0)),"")</f>
        <v/>
      </c>
      <c r="E17" s="15" t="str">
        <f aca="false">IFERROR(INDEX(Pedidos!H:H,MATCH(B17,Pedidos!G:G,0)),"")</f>
        <v/>
      </c>
    </row>
    <row r="18" customFormat="false" ht="19.5" hidden="false" customHeight="true" outlineLevel="0" collapsed="false">
      <c r="B18" s="8" t="str">
        <f aca="true">IFERROR(SMALL(IF((Pedidos!G$2:G$1000&gt;=TODAY())*(Pedidos!G$2:G$1000&lt;=TODAY()+7)*((Pedidos!I$2:I$1000="Pendente")+(Pedidos!I$2:I$1000="Parcial"))*(Pedidos!G$2:G$1000&lt;&gt;""),Pedidos!G$2:G$1000),7),"")</f>
        <v/>
      </c>
      <c r="C18" s="9" t="str">
        <f aca="false">IFERROR(INDEX(Pedidos!C:C,MATCH(B18,Pedidos!G:G,0)),"")</f>
        <v/>
      </c>
      <c r="D18" s="10" t="str">
        <f aca="false">IFERROR(INDEX(Pedidos!E:E,MATCH(B18,Pedidos!G:G,0)),"")</f>
        <v/>
      </c>
      <c r="E18" s="11" t="str">
        <f aca="false">IFERROR(INDEX(Pedidos!H:H,MATCH(B18,Pedidos!G:G,0)),"")</f>
        <v/>
      </c>
    </row>
    <row r="19" customFormat="false" ht="19.5" hidden="false" customHeight="true" outlineLevel="0" collapsed="false">
      <c r="B19" s="12" t="str">
        <f aca="true">IFERROR(SMALL(IF((Pedidos!G$2:G$1000&gt;=TODAY())*(Pedidos!G$2:G$1000&lt;=TODAY()+7)*((Pedidos!I$2:I$1000="Pendente")+(Pedidos!I$2:I$1000="Parcial"))*(Pedidos!G$2:G$1000&lt;&gt;""),Pedidos!G$2:G$1000),8),"")</f>
        <v/>
      </c>
      <c r="C19" s="13" t="str">
        <f aca="false">IFERROR(INDEX(Pedidos!C:C,MATCH(B19,Pedidos!G:G,0)),"")</f>
        <v/>
      </c>
      <c r="D19" s="14" t="str">
        <f aca="false">IFERROR(INDEX(Pedidos!E:E,MATCH(B19,Pedidos!G:G,0)),"")</f>
        <v/>
      </c>
      <c r="E19" s="15" t="str">
        <f aca="false">IFERROR(INDEX(Pedidos!H:H,MATCH(B19,Pedidos!G:G,0)),"")</f>
        <v/>
      </c>
    </row>
    <row r="20" customFormat="false" ht="19.5" hidden="false" customHeight="true" outlineLevel="0" collapsed="false">
      <c r="B20" s="8" t="str">
        <f aca="true">IFERROR(SMALL(IF((Pedidos!G$2:G$1000&gt;=TODAY())*(Pedidos!G$2:G$1000&lt;=TODAY()+7)*((Pedidos!I$2:I$1000="Pendente")+(Pedidos!I$2:I$1000="Parcial"))*(Pedidos!G$2:G$1000&lt;&gt;""),Pedidos!G$2:G$1000),9),"")</f>
        <v/>
      </c>
      <c r="C20" s="9" t="str">
        <f aca="false">IFERROR(INDEX(Pedidos!C:C,MATCH(B20,Pedidos!G:G,0)),"")</f>
        <v/>
      </c>
      <c r="D20" s="10" t="str">
        <f aca="false">IFERROR(INDEX(Pedidos!E:E,MATCH(B20,Pedidos!G:G,0)),"")</f>
        <v/>
      </c>
      <c r="E20" s="11" t="str">
        <f aca="false">IFERROR(INDEX(Pedidos!H:H,MATCH(B20,Pedidos!G:G,0)),"")</f>
        <v/>
      </c>
    </row>
    <row r="21" customFormat="false" ht="19.5" hidden="false" customHeight="true" outlineLevel="0" collapsed="false">
      <c r="B21" s="12" t="str">
        <f aca="true">IFERROR(SMALL(IF((Pedidos!G$2:G$1000&gt;=TODAY())*(Pedidos!G$2:G$1000&lt;=TODAY()+7)*((Pedidos!I$2:I$1000="Pendente")+(Pedidos!I$2:I$1000="Parcial"))*(Pedidos!G$2:G$1000&lt;&gt;""),Pedidos!G$2:G$1000),10),"")</f>
        <v/>
      </c>
      <c r="C21" s="13" t="str">
        <f aca="false">IFERROR(INDEX(Pedidos!C:C,MATCH(B21,Pedidos!G:G,0)),"")</f>
        <v/>
      </c>
      <c r="D21" s="14" t="str">
        <f aca="false">IFERROR(INDEX(Pedidos!E:E,MATCH(B21,Pedidos!G:G,0)),"")</f>
        <v/>
      </c>
      <c r="E21" s="15" t="str">
        <f aca="false">IFERROR(INDEX(Pedidos!H:H,MATCH(B21,Pedidos!G:G,0)),"")</f>
        <v/>
      </c>
    </row>
  </sheetData>
  <mergeCells count="3">
    <mergeCell ref="B2:E3"/>
    <mergeCell ref="B4:E4"/>
    <mergeCell ref="B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28"/>
    <col collapsed="false" customWidth="true" hidden="false" outlineLevel="0" max="6" min="6" style="0" width="8"/>
    <col collapsed="false" customWidth="true" hidden="false" outlineLevel="0" max="11" min="7" style="0" width="13"/>
    <col collapsed="false" customWidth="true" hidden="false" outlineLevel="0" max="12" min="12" style="0" width="16"/>
    <col collapsed="false" customWidth="true" hidden="false" outlineLevel="0" max="13" min="13" style="0" width="30"/>
  </cols>
  <sheetData>
    <row r="2" customFormat="false" ht="21.75" hidden="false" customHeight="true" outlineLevel="0" collapsed="false">
      <c r="B2" s="1" t="s">
        <v>11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21.75" hidden="false" customHeight="tru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19.5" hidden="false" customHeight="true" outlineLevel="0" collapsed="false">
      <c r="B4" s="16" t="s">
        <v>12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customFormat="false" ht="12" hidden="false" customHeight="true" outlineLevel="0" collapsed="false"/>
    <row r="6" customFormat="false" ht="31.5" hidden="false" customHeight="true" outlineLevel="0" collapsed="false">
      <c r="B6" s="17" t="s">
        <v>13</v>
      </c>
      <c r="C6" s="17" t="s">
        <v>8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 t="s">
        <v>22</v>
      </c>
      <c r="M6" s="17" t="s">
        <v>23</v>
      </c>
    </row>
    <row r="7" customFormat="false" ht="21.75" hidden="false" customHeight="true" outlineLevel="0" collapsed="false">
      <c r="B7" s="18" t="str">
        <f aca="false">IF(C7="","",ROW()-6)</f>
        <v/>
      </c>
      <c r="C7" s="19"/>
      <c r="D7" s="19"/>
      <c r="E7" s="19"/>
      <c r="F7" s="18"/>
      <c r="G7" s="20"/>
      <c r="H7" s="21"/>
      <c r="I7" s="18"/>
      <c r="J7" s="21"/>
      <c r="K7" s="21" t="str">
        <f aca="false">IF(H7="","",IF(I7="Pago",0,IF(I7="Cancelado",0,H7-IF(J7="",0,J7))))</f>
        <v/>
      </c>
      <c r="L7" s="18"/>
      <c r="M7" s="19"/>
    </row>
    <row r="8" customFormat="false" ht="21.75" hidden="false" customHeight="true" outlineLevel="0" collapsed="false">
      <c r="B8" s="10" t="str">
        <f aca="false">IF(C8="","",ROW()-6)</f>
        <v/>
      </c>
      <c r="C8" s="9"/>
      <c r="D8" s="9"/>
      <c r="E8" s="9"/>
      <c r="F8" s="10"/>
      <c r="G8" s="8"/>
      <c r="H8" s="22"/>
      <c r="I8" s="10"/>
      <c r="J8" s="22"/>
      <c r="K8" s="22" t="str">
        <f aca="false">IF(H8="","",IF(I8="Pago",0,IF(I8="Cancelado",0,H8-IF(J8="",0,J8))))</f>
        <v/>
      </c>
      <c r="L8" s="10"/>
      <c r="M8" s="9"/>
    </row>
    <row r="9" customFormat="false" ht="21.75" hidden="false" customHeight="true" outlineLevel="0" collapsed="false">
      <c r="B9" s="18" t="str">
        <f aca="false">IF(C9="","",ROW()-6)</f>
        <v/>
      </c>
      <c r="C9" s="19"/>
      <c r="D9" s="19"/>
      <c r="E9" s="19"/>
      <c r="F9" s="18"/>
      <c r="G9" s="20"/>
      <c r="H9" s="21"/>
      <c r="I9" s="18"/>
      <c r="J9" s="21"/>
      <c r="K9" s="21" t="str">
        <f aca="false">IF(H9="","",IF(I9="Pago",0,IF(I9="Cancelado",0,H9-IF(J9="",0,J9))))</f>
        <v/>
      </c>
      <c r="L9" s="18"/>
      <c r="M9" s="19"/>
    </row>
    <row r="10" customFormat="false" ht="21.75" hidden="false" customHeight="true" outlineLevel="0" collapsed="false">
      <c r="B10" s="10" t="str">
        <f aca="false">IF(C10="","",ROW()-6)</f>
        <v/>
      </c>
      <c r="C10" s="9"/>
      <c r="D10" s="9"/>
      <c r="E10" s="9"/>
      <c r="F10" s="10"/>
      <c r="G10" s="8"/>
      <c r="H10" s="22"/>
      <c r="I10" s="10"/>
      <c r="J10" s="22"/>
      <c r="K10" s="22" t="str">
        <f aca="false">IF(H10="","",IF(I10="Pago",0,IF(I10="Cancelado",0,H10-IF(J10="",0,J10))))</f>
        <v/>
      </c>
      <c r="L10" s="10"/>
      <c r="M10" s="9"/>
    </row>
    <row r="11" customFormat="false" ht="21.75" hidden="false" customHeight="true" outlineLevel="0" collapsed="false">
      <c r="B11" s="18" t="str">
        <f aca="false">IF(C11="","",ROW()-6)</f>
        <v/>
      </c>
      <c r="C11" s="19"/>
      <c r="D11" s="19"/>
      <c r="E11" s="19"/>
      <c r="F11" s="18"/>
      <c r="G11" s="20"/>
      <c r="H11" s="21"/>
      <c r="I11" s="18"/>
      <c r="J11" s="21"/>
      <c r="K11" s="21" t="str">
        <f aca="false">IF(H11="","",IF(I11="Pago",0,IF(I11="Cancelado",0,H11-IF(J11="",0,J11))))</f>
        <v/>
      </c>
      <c r="L11" s="18"/>
      <c r="M11" s="19"/>
    </row>
    <row r="12" customFormat="false" ht="21.75" hidden="false" customHeight="true" outlineLevel="0" collapsed="false">
      <c r="B12" s="10" t="str">
        <f aca="false">IF(C12="","",ROW()-6)</f>
        <v/>
      </c>
      <c r="C12" s="9"/>
      <c r="D12" s="9"/>
      <c r="E12" s="9"/>
      <c r="F12" s="10"/>
      <c r="G12" s="8"/>
      <c r="H12" s="22"/>
      <c r="I12" s="10"/>
      <c r="J12" s="22"/>
      <c r="K12" s="22" t="str">
        <f aca="false">IF(H12="","",IF(I12="Pago",0,IF(I12="Cancelado",0,H12-IF(J12="",0,J12))))</f>
        <v/>
      </c>
      <c r="L12" s="10"/>
      <c r="M12" s="9"/>
    </row>
    <row r="13" customFormat="false" ht="21.75" hidden="false" customHeight="true" outlineLevel="0" collapsed="false">
      <c r="B13" s="18" t="str">
        <f aca="false">IF(C13="","",ROW()-6)</f>
        <v/>
      </c>
      <c r="C13" s="19"/>
      <c r="D13" s="19"/>
      <c r="E13" s="19"/>
      <c r="F13" s="18"/>
      <c r="G13" s="20"/>
      <c r="H13" s="21"/>
      <c r="I13" s="18"/>
      <c r="J13" s="21"/>
      <c r="K13" s="21" t="str">
        <f aca="false">IF(H13="","",IF(I13="Pago",0,IF(I13="Cancelado",0,H13-IF(J13="",0,J13))))</f>
        <v/>
      </c>
      <c r="L13" s="18"/>
      <c r="M13" s="19"/>
    </row>
    <row r="14" customFormat="false" ht="21.75" hidden="false" customHeight="true" outlineLevel="0" collapsed="false">
      <c r="B14" s="10" t="str">
        <f aca="false">IF(C14="","",ROW()-6)</f>
        <v/>
      </c>
      <c r="C14" s="9"/>
      <c r="D14" s="9"/>
      <c r="E14" s="9"/>
      <c r="F14" s="10"/>
      <c r="G14" s="8"/>
      <c r="H14" s="22"/>
      <c r="I14" s="10"/>
      <c r="J14" s="22"/>
      <c r="K14" s="22" t="str">
        <f aca="false">IF(H14="","",IF(I14="Pago",0,IF(I14="Cancelado",0,H14-IF(J14="",0,J14))))</f>
        <v/>
      </c>
      <c r="L14" s="10"/>
      <c r="M14" s="9"/>
    </row>
    <row r="15" customFormat="false" ht="21.75" hidden="false" customHeight="true" outlineLevel="0" collapsed="false">
      <c r="B15" s="18" t="str">
        <f aca="false">IF(C15="","",ROW()-6)</f>
        <v/>
      </c>
      <c r="C15" s="19"/>
      <c r="D15" s="19"/>
      <c r="E15" s="19"/>
      <c r="F15" s="18"/>
      <c r="G15" s="20"/>
      <c r="H15" s="21"/>
      <c r="I15" s="18"/>
      <c r="J15" s="21"/>
      <c r="K15" s="21" t="str">
        <f aca="false">IF(H15="","",IF(I15="Pago",0,IF(I15="Cancelado",0,H15-IF(J15="",0,J15))))</f>
        <v/>
      </c>
      <c r="L15" s="18"/>
      <c r="M15" s="19"/>
    </row>
    <row r="16" customFormat="false" ht="21.75" hidden="false" customHeight="true" outlineLevel="0" collapsed="false">
      <c r="B16" s="10" t="str">
        <f aca="false">IF(C16="","",ROW()-6)</f>
        <v/>
      </c>
      <c r="C16" s="9"/>
      <c r="D16" s="9"/>
      <c r="E16" s="9"/>
      <c r="F16" s="10"/>
      <c r="G16" s="8"/>
      <c r="H16" s="22"/>
      <c r="I16" s="10"/>
      <c r="J16" s="22"/>
      <c r="K16" s="22" t="str">
        <f aca="false">IF(H16="","",IF(I16="Pago",0,IF(I16="Cancelado",0,H16-IF(J16="",0,J16))))</f>
        <v/>
      </c>
      <c r="L16" s="10"/>
      <c r="M16" s="9"/>
    </row>
    <row r="17" customFormat="false" ht="21.75" hidden="false" customHeight="true" outlineLevel="0" collapsed="false">
      <c r="B17" s="18" t="str">
        <f aca="false">IF(C17="","",ROW()-6)</f>
        <v/>
      </c>
      <c r="C17" s="19"/>
      <c r="D17" s="19"/>
      <c r="E17" s="19"/>
      <c r="F17" s="18"/>
      <c r="G17" s="20"/>
      <c r="H17" s="21"/>
      <c r="I17" s="18"/>
      <c r="J17" s="21"/>
      <c r="K17" s="21" t="str">
        <f aca="false">IF(H17="","",IF(I17="Pago",0,IF(I17="Cancelado",0,H17-IF(J17="",0,J17))))</f>
        <v/>
      </c>
      <c r="L17" s="18"/>
      <c r="M17" s="19"/>
    </row>
    <row r="18" customFormat="false" ht="21.75" hidden="false" customHeight="true" outlineLevel="0" collapsed="false">
      <c r="B18" s="10" t="str">
        <f aca="false">IF(C18="","",ROW()-6)</f>
        <v/>
      </c>
      <c r="C18" s="9"/>
      <c r="D18" s="9"/>
      <c r="E18" s="9"/>
      <c r="F18" s="10"/>
      <c r="G18" s="8"/>
      <c r="H18" s="22"/>
      <c r="I18" s="10"/>
      <c r="J18" s="22"/>
      <c r="K18" s="22" t="str">
        <f aca="false">IF(H18="","",IF(I18="Pago",0,IF(I18="Cancelado",0,H18-IF(J18="",0,J18))))</f>
        <v/>
      </c>
      <c r="L18" s="10"/>
      <c r="M18" s="9"/>
    </row>
    <row r="19" customFormat="false" ht="21.75" hidden="false" customHeight="true" outlineLevel="0" collapsed="false">
      <c r="B19" s="18" t="str">
        <f aca="false">IF(C19="","",ROW()-6)</f>
        <v/>
      </c>
      <c r="C19" s="19"/>
      <c r="D19" s="19"/>
      <c r="E19" s="19"/>
      <c r="F19" s="18"/>
      <c r="G19" s="20"/>
      <c r="H19" s="21"/>
      <c r="I19" s="18"/>
      <c r="J19" s="21"/>
      <c r="K19" s="21" t="str">
        <f aca="false">IF(H19="","",IF(I19="Pago",0,IF(I19="Cancelado",0,H19-IF(J19="",0,J19))))</f>
        <v/>
      </c>
      <c r="L19" s="18"/>
      <c r="M19" s="19"/>
    </row>
    <row r="20" customFormat="false" ht="21.75" hidden="false" customHeight="true" outlineLevel="0" collapsed="false">
      <c r="B20" s="10" t="str">
        <f aca="false">IF(C20="","",ROW()-6)</f>
        <v/>
      </c>
      <c r="C20" s="9"/>
      <c r="D20" s="9"/>
      <c r="E20" s="9"/>
      <c r="F20" s="10"/>
      <c r="G20" s="8"/>
      <c r="H20" s="22"/>
      <c r="I20" s="10"/>
      <c r="J20" s="22"/>
      <c r="K20" s="22" t="str">
        <f aca="false">IF(H20="","",IF(I20="Pago",0,IF(I20="Cancelado",0,H20-IF(J20="",0,J20))))</f>
        <v/>
      </c>
      <c r="L20" s="10"/>
      <c r="M20" s="9"/>
    </row>
    <row r="21" customFormat="false" ht="21.75" hidden="false" customHeight="true" outlineLevel="0" collapsed="false">
      <c r="B21" s="18" t="str">
        <f aca="false">IF(C21="","",ROW()-6)</f>
        <v/>
      </c>
      <c r="C21" s="19"/>
      <c r="D21" s="19"/>
      <c r="E21" s="19"/>
      <c r="F21" s="18"/>
      <c r="G21" s="20"/>
      <c r="H21" s="21"/>
      <c r="I21" s="18"/>
      <c r="J21" s="21"/>
      <c r="K21" s="21" t="str">
        <f aca="false">IF(H21="","",IF(I21="Pago",0,IF(I21="Cancelado",0,H21-IF(J21="",0,J21))))</f>
        <v/>
      </c>
      <c r="L21" s="18"/>
      <c r="M21" s="19"/>
    </row>
    <row r="22" customFormat="false" ht="21.75" hidden="false" customHeight="true" outlineLevel="0" collapsed="false">
      <c r="B22" s="10" t="str">
        <f aca="false">IF(C22="","",ROW()-6)</f>
        <v/>
      </c>
      <c r="C22" s="9"/>
      <c r="D22" s="9"/>
      <c r="E22" s="9"/>
      <c r="F22" s="10"/>
      <c r="G22" s="8"/>
      <c r="H22" s="22"/>
      <c r="I22" s="10"/>
      <c r="J22" s="22"/>
      <c r="K22" s="22" t="str">
        <f aca="false">IF(H22="","",IF(I22="Pago",0,IF(I22="Cancelado",0,H22-IF(J22="",0,J22))))</f>
        <v/>
      </c>
      <c r="L22" s="10"/>
      <c r="M22" s="9"/>
    </row>
    <row r="23" customFormat="false" ht="21.75" hidden="false" customHeight="true" outlineLevel="0" collapsed="false">
      <c r="B23" s="18" t="str">
        <f aca="false">IF(C23="","",ROW()-6)</f>
        <v/>
      </c>
      <c r="C23" s="19"/>
      <c r="D23" s="19"/>
      <c r="E23" s="19"/>
      <c r="F23" s="18"/>
      <c r="G23" s="20"/>
      <c r="H23" s="21"/>
      <c r="I23" s="18"/>
      <c r="J23" s="21"/>
      <c r="K23" s="21" t="str">
        <f aca="false">IF(H23="","",IF(I23="Pago",0,IF(I23="Cancelado",0,H23-IF(J23="",0,J23))))</f>
        <v/>
      </c>
      <c r="L23" s="18"/>
      <c r="M23" s="19"/>
    </row>
    <row r="24" customFormat="false" ht="21.75" hidden="false" customHeight="true" outlineLevel="0" collapsed="false">
      <c r="B24" s="10" t="str">
        <f aca="false">IF(C24="","",ROW()-6)</f>
        <v/>
      </c>
      <c r="C24" s="9"/>
      <c r="D24" s="9"/>
      <c r="E24" s="9"/>
      <c r="F24" s="10"/>
      <c r="G24" s="8"/>
      <c r="H24" s="22"/>
      <c r="I24" s="10"/>
      <c r="J24" s="22"/>
      <c r="K24" s="22" t="str">
        <f aca="false">IF(H24="","",IF(I24="Pago",0,IF(I24="Cancelado",0,H24-IF(J24="",0,J24))))</f>
        <v/>
      </c>
      <c r="L24" s="10"/>
      <c r="M24" s="9"/>
    </row>
    <row r="25" customFormat="false" ht="21.75" hidden="false" customHeight="true" outlineLevel="0" collapsed="false">
      <c r="B25" s="18" t="str">
        <f aca="false">IF(C25="","",ROW()-6)</f>
        <v/>
      </c>
      <c r="C25" s="19"/>
      <c r="D25" s="19"/>
      <c r="E25" s="19"/>
      <c r="F25" s="18"/>
      <c r="G25" s="20"/>
      <c r="H25" s="21"/>
      <c r="I25" s="18"/>
      <c r="J25" s="21"/>
      <c r="K25" s="21" t="str">
        <f aca="false">IF(H25="","",IF(I25="Pago",0,IF(I25="Cancelado",0,H25-IF(J25="",0,J25))))</f>
        <v/>
      </c>
      <c r="L25" s="18"/>
      <c r="M25" s="19"/>
    </row>
    <row r="26" customFormat="false" ht="21.75" hidden="false" customHeight="true" outlineLevel="0" collapsed="false">
      <c r="B26" s="10" t="str">
        <f aca="false">IF(C26="","",ROW()-6)</f>
        <v/>
      </c>
      <c r="C26" s="9"/>
      <c r="D26" s="9"/>
      <c r="E26" s="9"/>
      <c r="F26" s="10"/>
      <c r="G26" s="8"/>
      <c r="H26" s="22"/>
      <c r="I26" s="10"/>
      <c r="J26" s="22"/>
      <c r="K26" s="22" t="str">
        <f aca="false">IF(H26="","",IF(I26="Pago",0,IF(I26="Cancelado",0,H26-IF(J26="",0,J26))))</f>
        <v/>
      </c>
      <c r="L26" s="10"/>
      <c r="M26" s="9"/>
    </row>
    <row r="27" customFormat="false" ht="21.75" hidden="false" customHeight="true" outlineLevel="0" collapsed="false">
      <c r="B27" s="18" t="str">
        <f aca="false">IF(C27="","",ROW()-6)</f>
        <v/>
      </c>
      <c r="C27" s="19"/>
      <c r="D27" s="19"/>
      <c r="E27" s="19"/>
      <c r="F27" s="18"/>
      <c r="G27" s="20"/>
      <c r="H27" s="21"/>
      <c r="I27" s="18"/>
      <c r="J27" s="21"/>
      <c r="K27" s="21" t="str">
        <f aca="false">IF(H27="","",IF(I27="Pago",0,IF(I27="Cancelado",0,H27-IF(J27="",0,J27))))</f>
        <v/>
      </c>
      <c r="L27" s="18"/>
      <c r="M27" s="19"/>
    </row>
    <row r="28" customFormat="false" ht="21.75" hidden="false" customHeight="true" outlineLevel="0" collapsed="false">
      <c r="B28" s="10" t="str">
        <f aca="false">IF(C28="","",ROW()-6)</f>
        <v/>
      </c>
      <c r="C28" s="9"/>
      <c r="D28" s="9"/>
      <c r="E28" s="9"/>
      <c r="F28" s="10"/>
      <c r="G28" s="8"/>
      <c r="H28" s="22"/>
      <c r="I28" s="10"/>
      <c r="J28" s="22"/>
      <c r="K28" s="22" t="str">
        <f aca="false">IF(H28="","",IF(I28="Pago",0,IF(I28="Cancelado",0,H28-IF(J28="",0,J28))))</f>
        <v/>
      </c>
      <c r="L28" s="10"/>
      <c r="M28" s="9"/>
    </row>
    <row r="29" customFormat="false" ht="21.75" hidden="false" customHeight="true" outlineLevel="0" collapsed="false">
      <c r="B29" s="18" t="str">
        <f aca="false">IF(C29="","",ROW()-6)</f>
        <v/>
      </c>
      <c r="C29" s="19"/>
      <c r="D29" s="19"/>
      <c r="E29" s="19"/>
      <c r="F29" s="18"/>
      <c r="G29" s="20"/>
      <c r="H29" s="21"/>
      <c r="I29" s="18"/>
      <c r="J29" s="21"/>
      <c r="K29" s="21" t="str">
        <f aca="false">IF(H29="","",IF(I29="Pago",0,IF(I29="Cancelado",0,H29-IF(J29="",0,J29))))</f>
        <v/>
      </c>
      <c r="L29" s="18"/>
      <c r="M29" s="19"/>
    </row>
    <row r="30" customFormat="false" ht="21.75" hidden="false" customHeight="true" outlineLevel="0" collapsed="false">
      <c r="B30" s="10" t="str">
        <f aca="false">IF(C30="","",ROW()-6)</f>
        <v/>
      </c>
      <c r="C30" s="9"/>
      <c r="D30" s="9"/>
      <c r="E30" s="9"/>
      <c r="F30" s="10"/>
      <c r="G30" s="8"/>
      <c r="H30" s="22"/>
      <c r="I30" s="10"/>
      <c r="J30" s="22"/>
      <c r="K30" s="22" t="str">
        <f aca="false">IF(H30="","",IF(I30="Pago",0,IF(I30="Cancelado",0,H30-IF(J30="",0,J30))))</f>
        <v/>
      </c>
      <c r="L30" s="10"/>
      <c r="M30" s="9"/>
    </row>
    <row r="31" customFormat="false" ht="21.75" hidden="false" customHeight="true" outlineLevel="0" collapsed="false">
      <c r="B31" s="18" t="str">
        <f aca="false">IF(C31="","",ROW()-6)</f>
        <v/>
      </c>
      <c r="C31" s="19"/>
      <c r="D31" s="19"/>
      <c r="E31" s="19"/>
      <c r="F31" s="18"/>
      <c r="G31" s="20"/>
      <c r="H31" s="21"/>
      <c r="I31" s="18"/>
      <c r="J31" s="21"/>
      <c r="K31" s="21" t="str">
        <f aca="false">IF(H31="","",IF(I31="Pago",0,IF(I31="Cancelado",0,H31-IF(J31="",0,J31))))</f>
        <v/>
      </c>
      <c r="L31" s="18"/>
      <c r="M31" s="19"/>
    </row>
    <row r="32" customFormat="false" ht="21.75" hidden="false" customHeight="true" outlineLevel="0" collapsed="false">
      <c r="B32" s="10" t="str">
        <f aca="false">IF(C32="","",ROW()-6)</f>
        <v/>
      </c>
      <c r="C32" s="9"/>
      <c r="D32" s="9"/>
      <c r="E32" s="9"/>
      <c r="F32" s="10"/>
      <c r="G32" s="8"/>
      <c r="H32" s="22"/>
      <c r="I32" s="10"/>
      <c r="J32" s="22"/>
      <c r="K32" s="22" t="str">
        <f aca="false">IF(H32="","",IF(I32="Pago",0,IF(I32="Cancelado",0,H32-IF(J32="",0,J32))))</f>
        <v/>
      </c>
      <c r="L32" s="10"/>
      <c r="M32" s="9"/>
    </row>
    <row r="33" customFormat="false" ht="21.75" hidden="false" customHeight="true" outlineLevel="0" collapsed="false">
      <c r="B33" s="18" t="str">
        <f aca="false">IF(C33="","",ROW()-6)</f>
        <v/>
      </c>
      <c r="C33" s="19"/>
      <c r="D33" s="19"/>
      <c r="E33" s="19"/>
      <c r="F33" s="18"/>
      <c r="G33" s="20"/>
      <c r="H33" s="21"/>
      <c r="I33" s="18"/>
      <c r="J33" s="21"/>
      <c r="K33" s="21" t="str">
        <f aca="false">IF(H33="","",IF(I33="Pago",0,IF(I33="Cancelado",0,H33-IF(J33="",0,J33))))</f>
        <v/>
      </c>
      <c r="L33" s="18"/>
      <c r="M33" s="19"/>
    </row>
    <row r="34" customFormat="false" ht="21.75" hidden="false" customHeight="true" outlineLevel="0" collapsed="false">
      <c r="B34" s="10" t="str">
        <f aca="false">IF(C34="","",ROW()-6)</f>
        <v/>
      </c>
      <c r="C34" s="9"/>
      <c r="D34" s="9"/>
      <c r="E34" s="9"/>
      <c r="F34" s="10"/>
      <c r="G34" s="8"/>
      <c r="H34" s="22"/>
      <c r="I34" s="10"/>
      <c r="J34" s="22"/>
      <c r="K34" s="22" t="str">
        <f aca="false">IF(H34="","",IF(I34="Pago",0,IF(I34="Cancelado",0,H34-IF(J34="",0,J34))))</f>
        <v/>
      </c>
      <c r="L34" s="10"/>
      <c r="M34" s="9"/>
    </row>
    <row r="35" customFormat="false" ht="21.75" hidden="false" customHeight="true" outlineLevel="0" collapsed="false">
      <c r="B35" s="18" t="str">
        <f aca="false">IF(C35="","",ROW()-6)</f>
        <v/>
      </c>
      <c r="C35" s="19"/>
      <c r="D35" s="19"/>
      <c r="E35" s="19"/>
      <c r="F35" s="18"/>
      <c r="G35" s="20"/>
      <c r="H35" s="21"/>
      <c r="I35" s="18"/>
      <c r="J35" s="21"/>
      <c r="K35" s="21" t="str">
        <f aca="false">IF(H35="","",IF(I35="Pago",0,IF(I35="Cancelado",0,H35-IF(J35="",0,J35))))</f>
        <v/>
      </c>
      <c r="L35" s="18"/>
      <c r="M35" s="19"/>
    </row>
    <row r="36" customFormat="false" ht="21.75" hidden="false" customHeight="true" outlineLevel="0" collapsed="false">
      <c r="B36" s="10" t="str">
        <f aca="false">IF(C36="","",ROW()-6)</f>
        <v/>
      </c>
      <c r="C36" s="9"/>
      <c r="D36" s="9"/>
      <c r="E36" s="9"/>
      <c r="F36" s="10"/>
      <c r="G36" s="8"/>
      <c r="H36" s="22"/>
      <c r="I36" s="10"/>
      <c r="J36" s="22"/>
      <c r="K36" s="22" t="str">
        <f aca="false">IF(H36="","",IF(I36="Pago",0,IF(I36="Cancelado",0,H36-IF(J36="",0,J36))))</f>
        <v/>
      </c>
      <c r="L36" s="10"/>
      <c r="M36" s="9"/>
    </row>
    <row r="37" customFormat="false" ht="21.75" hidden="false" customHeight="true" outlineLevel="0" collapsed="false">
      <c r="B37" s="18" t="str">
        <f aca="false">IF(C37="","",ROW()-6)</f>
        <v/>
      </c>
      <c r="C37" s="19"/>
      <c r="D37" s="19"/>
      <c r="E37" s="19"/>
      <c r="F37" s="18"/>
      <c r="G37" s="20"/>
      <c r="H37" s="21"/>
      <c r="I37" s="18"/>
      <c r="J37" s="21"/>
      <c r="K37" s="21" t="str">
        <f aca="false">IF(H37="","",IF(I37="Pago",0,IF(I37="Cancelado",0,H37-IF(J37="",0,J37))))</f>
        <v/>
      </c>
      <c r="L37" s="18"/>
      <c r="M37" s="19"/>
    </row>
    <row r="38" customFormat="false" ht="21.75" hidden="false" customHeight="true" outlineLevel="0" collapsed="false">
      <c r="B38" s="10" t="str">
        <f aca="false">IF(C38="","",ROW()-6)</f>
        <v/>
      </c>
      <c r="C38" s="9"/>
      <c r="D38" s="9"/>
      <c r="E38" s="9"/>
      <c r="F38" s="10"/>
      <c r="G38" s="8"/>
      <c r="H38" s="22"/>
      <c r="I38" s="10"/>
      <c r="J38" s="22"/>
      <c r="K38" s="22" t="str">
        <f aca="false">IF(H38="","",IF(I38="Pago",0,IF(I38="Cancelado",0,H38-IF(J38="",0,J38))))</f>
        <v/>
      </c>
      <c r="L38" s="10"/>
      <c r="M38" s="9"/>
    </row>
    <row r="39" customFormat="false" ht="21.75" hidden="false" customHeight="true" outlineLevel="0" collapsed="false">
      <c r="B39" s="18" t="str">
        <f aca="false">IF(C39="","",ROW()-6)</f>
        <v/>
      </c>
      <c r="C39" s="19"/>
      <c r="D39" s="19"/>
      <c r="E39" s="19"/>
      <c r="F39" s="18"/>
      <c r="G39" s="20"/>
      <c r="H39" s="21"/>
      <c r="I39" s="18"/>
      <c r="J39" s="21"/>
      <c r="K39" s="21" t="str">
        <f aca="false">IF(H39="","",IF(I39="Pago",0,IF(I39="Cancelado",0,H39-IF(J39="",0,J39))))</f>
        <v/>
      </c>
      <c r="L39" s="18"/>
      <c r="M39" s="19"/>
    </row>
    <row r="40" customFormat="false" ht="21.75" hidden="false" customHeight="true" outlineLevel="0" collapsed="false">
      <c r="B40" s="10" t="str">
        <f aca="false">IF(C40="","",ROW()-6)</f>
        <v/>
      </c>
      <c r="C40" s="9"/>
      <c r="D40" s="9"/>
      <c r="E40" s="9"/>
      <c r="F40" s="10"/>
      <c r="G40" s="8"/>
      <c r="H40" s="22"/>
      <c r="I40" s="10"/>
      <c r="J40" s="22"/>
      <c r="K40" s="22" t="str">
        <f aca="false">IF(H40="","",IF(I40="Pago",0,IF(I40="Cancelado",0,H40-IF(J40="",0,J40))))</f>
        <v/>
      </c>
      <c r="L40" s="10"/>
      <c r="M40" s="9"/>
    </row>
    <row r="41" customFormat="false" ht="21.75" hidden="false" customHeight="true" outlineLevel="0" collapsed="false">
      <c r="B41" s="18" t="str">
        <f aca="false">IF(C41="","",ROW()-6)</f>
        <v/>
      </c>
      <c r="C41" s="19"/>
      <c r="D41" s="19"/>
      <c r="E41" s="19"/>
      <c r="F41" s="18"/>
      <c r="G41" s="20"/>
      <c r="H41" s="21"/>
      <c r="I41" s="18"/>
      <c r="J41" s="21"/>
      <c r="K41" s="21" t="str">
        <f aca="false">IF(H41="","",IF(I41="Pago",0,IF(I41="Cancelado",0,H41-IF(J41="",0,J41))))</f>
        <v/>
      </c>
      <c r="L41" s="18"/>
      <c r="M41" s="19"/>
    </row>
    <row r="42" customFormat="false" ht="21.75" hidden="false" customHeight="true" outlineLevel="0" collapsed="false">
      <c r="B42" s="10" t="str">
        <f aca="false">IF(C42="","",ROW()-6)</f>
        <v/>
      </c>
      <c r="C42" s="9"/>
      <c r="D42" s="9"/>
      <c r="E42" s="9"/>
      <c r="F42" s="10"/>
      <c r="G42" s="8"/>
      <c r="H42" s="22"/>
      <c r="I42" s="10"/>
      <c r="J42" s="22"/>
      <c r="K42" s="22" t="str">
        <f aca="false">IF(H42="","",IF(I42="Pago",0,IF(I42="Cancelado",0,H42-IF(J42="",0,J42))))</f>
        <v/>
      </c>
      <c r="L42" s="10"/>
      <c r="M42" s="9"/>
    </row>
    <row r="43" customFormat="false" ht="21.75" hidden="false" customHeight="true" outlineLevel="0" collapsed="false">
      <c r="B43" s="18" t="str">
        <f aca="false">IF(C43="","",ROW()-6)</f>
        <v/>
      </c>
      <c r="C43" s="19"/>
      <c r="D43" s="19"/>
      <c r="E43" s="19"/>
      <c r="F43" s="18"/>
      <c r="G43" s="20"/>
      <c r="H43" s="21"/>
      <c r="I43" s="18"/>
      <c r="J43" s="21"/>
      <c r="K43" s="21" t="str">
        <f aca="false">IF(H43="","",IF(I43="Pago",0,IF(I43="Cancelado",0,H43-IF(J43="",0,J43))))</f>
        <v/>
      </c>
      <c r="L43" s="18"/>
      <c r="M43" s="19"/>
    </row>
    <row r="44" customFormat="false" ht="21.75" hidden="false" customHeight="true" outlineLevel="0" collapsed="false">
      <c r="B44" s="10" t="str">
        <f aca="false">IF(C44="","",ROW()-6)</f>
        <v/>
      </c>
      <c r="C44" s="9"/>
      <c r="D44" s="9"/>
      <c r="E44" s="9"/>
      <c r="F44" s="10"/>
      <c r="G44" s="8"/>
      <c r="H44" s="22"/>
      <c r="I44" s="10"/>
      <c r="J44" s="22"/>
      <c r="K44" s="22" t="str">
        <f aca="false">IF(H44="","",IF(I44="Pago",0,IF(I44="Cancelado",0,H44-IF(J44="",0,J44))))</f>
        <v/>
      </c>
      <c r="L44" s="10"/>
      <c r="M44" s="9"/>
    </row>
    <row r="45" customFormat="false" ht="21.75" hidden="false" customHeight="true" outlineLevel="0" collapsed="false">
      <c r="B45" s="18" t="str">
        <f aca="false">IF(C45="","",ROW()-6)</f>
        <v/>
      </c>
      <c r="C45" s="19"/>
      <c r="D45" s="19"/>
      <c r="E45" s="19"/>
      <c r="F45" s="18"/>
      <c r="G45" s="20"/>
      <c r="H45" s="21"/>
      <c r="I45" s="18"/>
      <c r="J45" s="21"/>
      <c r="K45" s="21" t="str">
        <f aca="false">IF(H45="","",IF(I45="Pago",0,IF(I45="Cancelado",0,H45-IF(J45="",0,J45))))</f>
        <v/>
      </c>
      <c r="L45" s="18"/>
      <c r="M45" s="19"/>
    </row>
    <row r="46" customFormat="false" ht="21.75" hidden="false" customHeight="true" outlineLevel="0" collapsed="false">
      <c r="B46" s="10" t="str">
        <f aca="false">IF(C46="","",ROW()-6)</f>
        <v/>
      </c>
      <c r="C46" s="9"/>
      <c r="D46" s="9"/>
      <c r="E46" s="9"/>
      <c r="F46" s="10"/>
      <c r="G46" s="8"/>
      <c r="H46" s="22"/>
      <c r="I46" s="10"/>
      <c r="J46" s="22"/>
      <c r="K46" s="22" t="str">
        <f aca="false">IF(H46="","",IF(I46="Pago",0,IF(I46="Cancelado",0,H46-IF(J46="",0,J46))))</f>
        <v/>
      </c>
      <c r="L46" s="10"/>
      <c r="M46" s="9"/>
    </row>
    <row r="47" customFormat="false" ht="21.75" hidden="false" customHeight="true" outlineLevel="0" collapsed="false">
      <c r="B47" s="18" t="str">
        <f aca="false">IF(C47="","",ROW()-6)</f>
        <v/>
      </c>
      <c r="C47" s="19"/>
      <c r="D47" s="19"/>
      <c r="E47" s="19"/>
      <c r="F47" s="18"/>
      <c r="G47" s="20"/>
      <c r="H47" s="21"/>
      <c r="I47" s="18"/>
      <c r="J47" s="21"/>
      <c r="K47" s="21" t="str">
        <f aca="false">IF(H47="","",IF(I47="Pago",0,IF(I47="Cancelado",0,H47-IF(J47="",0,J47))))</f>
        <v/>
      </c>
      <c r="L47" s="18"/>
      <c r="M47" s="19"/>
    </row>
    <row r="48" customFormat="false" ht="21.75" hidden="false" customHeight="true" outlineLevel="0" collapsed="false">
      <c r="B48" s="10" t="str">
        <f aca="false">IF(C48="","",ROW()-6)</f>
        <v/>
      </c>
      <c r="C48" s="9"/>
      <c r="D48" s="9"/>
      <c r="E48" s="9"/>
      <c r="F48" s="10"/>
      <c r="G48" s="8"/>
      <c r="H48" s="22"/>
      <c r="I48" s="10"/>
      <c r="J48" s="22"/>
      <c r="K48" s="22" t="str">
        <f aca="false">IF(H48="","",IF(I48="Pago",0,IF(I48="Cancelado",0,H48-IF(J48="",0,J48))))</f>
        <v/>
      </c>
      <c r="L48" s="10"/>
      <c r="M48" s="9"/>
    </row>
    <row r="49" customFormat="false" ht="21.75" hidden="false" customHeight="true" outlineLevel="0" collapsed="false">
      <c r="B49" s="18" t="str">
        <f aca="false">IF(C49="","",ROW()-6)</f>
        <v/>
      </c>
      <c r="C49" s="19"/>
      <c r="D49" s="19"/>
      <c r="E49" s="19"/>
      <c r="F49" s="18"/>
      <c r="G49" s="20"/>
      <c r="H49" s="21"/>
      <c r="I49" s="18"/>
      <c r="J49" s="21"/>
      <c r="K49" s="21" t="str">
        <f aca="false">IF(H49="","",IF(I49="Pago",0,IF(I49="Cancelado",0,H49-IF(J49="",0,J49))))</f>
        <v/>
      </c>
      <c r="L49" s="18"/>
      <c r="M49" s="19"/>
    </row>
    <row r="50" customFormat="false" ht="21.75" hidden="false" customHeight="true" outlineLevel="0" collapsed="false">
      <c r="B50" s="10" t="str">
        <f aca="false">IF(C50="","",ROW()-6)</f>
        <v/>
      </c>
      <c r="C50" s="9"/>
      <c r="D50" s="9"/>
      <c r="E50" s="9"/>
      <c r="F50" s="10"/>
      <c r="G50" s="8"/>
      <c r="H50" s="22"/>
      <c r="I50" s="10"/>
      <c r="J50" s="22"/>
      <c r="K50" s="22" t="str">
        <f aca="false">IF(H50="","",IF(I50="Pago",0,IF(I50="Cancelado",0,H50-IF(J50="",0,J50))))</f>
        <v/>
      </c>
      <c r="L50" s="10"/>
      <c r="M50" s="9"/>
    </row>
    <row r="51" customFormat="false" ht="21.75" hidden="false" customHeight="true" outlineLevel="0" collapsed="false">
      <c r="B51" s="18" t="str">
        <f aca="false">IF(C51="","",ROW()-6)</f>
        <v/>
      </c>
      <c r="C51" s="19"/>
      <c r="D51" s="19"/>
      <c r="E51" s="19"/>
      <c r="F51" s="18"/>
      <c r="G51" s="20"/>
      <c r="H51" s="21"/>
      <c r="I51" s="18"/>
      <c r="J51" s="21"/>
      <c r="K51" s="21" t="str">
        <f aca="false">IF(H51="","",IF(I51="Pago",0,IF(I51="Cancelado",0,H51-IF(J51="",0,J51))))</f>
        <v/>
      </c>
      <c r="L51" s="18"/>
      <c r="M51" s="19"/>
    </row>
    <row r="52" customFormat="false" ht="21.75" hidden="false" customHeight="true" outlineLevel="0" collapsed="false">
      <c r="B52" s="10" t="str">
        <f aca="false">IF(C52="","",ROW()-6)</f>
        <v/>
      </c>
      <c r="C52" s="9"/>
      <c r="D52" s="9"/>
      <c r="E52" s="9"/>
      <c r="F52" s="10"/>
      <c r="G52" s="8"/>
      <c r="H52" s="22"/>
      <c r="I52" s="10"/>
      <c r="J52" s="22"/>
      <c r="K52" s="22" t="str">
        <f aca="false">IF(H52="","",IF(I52="Pago",0,IF(I52="Cancelado",0,H52-IF(J52="",0,J52))))</f>
        <v/>
      </c>
      <c r="L52" s="10"/>
      <c r="M52" s="9"/>
    </row>
    <row r="53" customFormat="false" ht="21.75" hidden="false" customHeight="true" outlineLevel="0" collapsed="false">
      <c r="B53" s="18" t="str">
        <f aca="false">IF(C53="","",ROW()-6)</f>
        <v/>
      </c>
      <c r="C53" s="19"/>
      <c r="D53" s="19"/>
      <c r="E53" s="19"/>
      <c r="F53" s="18"/>
      <c r="G53" s="20"/>
      <c r="H53" s="21"/>
      <c r="I53" s="18"/>
      <c r="J53" s="21"/>
      <c r="K53" s="21" t="str">
        <f aca="false">IF(H53="","",IF(I53="Pago",0,IF(I53="Cancelado",0,H53-IF(J53="",0,J53))))</f>
        <v/>
      </c>
      <c r="L53" s="18"/>
      <c r="M53" s="19"/>
    </row>
    <row r="54" customFormat="false" ht="21.75" hidden="false" customHeight="true" outlineLevel="0" collapsed="false">
      <c r="B54" s="10" t="str">
        <f aca="false">IF(C54="","",ROW()-6)</f>
        <v/>
      </c>
      <c r="C54" s="9"/>
      <c r="D54" s="9"/>
      <c r="E54" s="9"/>
      <c r="F54" s="10"/>
      <c r="G54" s="8"/>
      <c r="H54" s="22"/>
      <c r="I54" s="10"/>
      <c r="J54" s="22"/>
      <c r="K54" s="22" t="str">
        <f aca="false">IF(H54="","",IF(I54="Pago",0,IF(I54="Cancelado",0,H54-IF(J54="",0,J54))))</f>
        <v/>
      </c>
      <c r="L54" s="10"/>
      <c r="M54" s="9"/>
    </row>
    <row r="55" customFormat="false" ht="21.75" hidden="false" customHeight="true" outlineLevel="0" collapsed="false">
      <c r="B55" s="18" t="str">
        <f aca="false">IF(C55="","",ROW()-6)</f>
        <v/>
      </c>
      <c r="C55" s="19"/>
      <c r="D55" s="19"/>
      <c r="E55" s="19"/>
      <c r="F55" s="18"/>
      <c r="G55" s="20"/>
      <c r="H55" s="21"/>
      <c r="I55" s="18"/>
      <c r="J55" s="21"/>
      <c r="K55" s="21" t="str">
        <f aca="false">IF(H55="","",IF(I55="Pago",0,IF(I55="Cancelado",0,H55-IF(J55="",0,J55))))</f>
        <v/>
      </c>
      <c r="L55" s="18"/>
      <c r="M55" s="19"/>
    </row>
    <row r="56" customFormat="false" ht="21.75" hidden="false" customHeight="true" outlineLevel="0" collapsed="false">
      <c r="B56" s="10" t="str">
        <f aca="false">IF(C56="","",ROW()-6)</f>
        <v/>
      </c>
      <c r="C56" s="9"/>
      <c r="D56" s="9"/>
      <c r="E56" s="9"/>
      <c r="F56" s="10"/>
      <c r="G56" s="8"/>
      <c r="H56" s="22"/>
      <c r="I56" s="10"/>
      <c r="J56" s="22"/>
      <c r="K56" s="22" t="str">
        <f aca="false">IF(H56="","",IF(I56="Pago",0,IF(I56="Cancelado",0,H56-IF(J56="",0,J56))))</f>
        <v/>
      </c>
      <c r="L56" s="10"/>
      <c r="M56" s="9"/>
    </row>
    <row r="58" customFormat="false" ht="27.75" hidden="false" customHeight="true" outlineLevel="0" collapsed="false">
      <c r="B58" s="23" t="s">
        <v>24</v>
      </c>
      <c r="C58" s="23"/>
      <c r="D58" s="23"/>
      <c r="E58" s="23"/>
      <c r="F58" s="23"/>
      <c r="G58" s="23"/>
      <c r="H58" s="24" t="n">
        <f aca="false">SUM(H7:H56)</f>
        <v>0</v>
      </c>
      <c r="I58" s="25"/>
      <c r="J58" s="24" t="n">
        <f aca="false">SUM(J7:J56)</f>
        <v>0</v>
      </c>
      <c r="K58" s="24" t="n">
        <f aca="false">SUM(K7:K56)</f>
        <v>0</v>
      </c>
      <c r="L58" s="25"/>
      <c r="M58" s="25"/>
    </row>
  </sheetData>
  <mergeCells count="3">
    <mergeCell ref="B2:M3"/>
    <mergeCell ref="B4:M4"/>
    <mergeCell ref="B58:G58"/>
  </mergeCells>
  <conditionalFormatting sqref="I7:I56">
    <cfRule type="cellIs" priority="2" operator="equal" aboveAverage="0" equalAverage="0" bottom="0" percent="0" rank="0" text="" dxfId="0">
      <formula>"Pago"</formula>
    </cfRule>
    <cfRule type="cellIs" priority="3" operator="equal" aboveAverage="0" equalAverage="0" bottom="0" percent="0" rank="0" text="" dxfId="1">
      <formula>"Pendente"</formula>
    </cfRule>
    <cfRule type="cellIs" priority="4" operator="equal" aboveAverage="0" equalAverage="0" bottom="0" percent="0" rank="0" text="" dxfId="2">
      <formula>"Parcial"</formula>
    </cfRule>
    <cfRule type="cellIs" priority="5" operator="equal" aboveAverage="0" equalAverage="0" bottom="0" percent="0" rank="0" text="" dxfId="3">
      <formula>"Cancelado"</formula>
    </cfRule>
  </conditionalFormatting>
  <conditionalFormatting sqref="G7:G56">
    <cfRule type="expression" priority="6" aboveAverage="0" equalAverage="0" bottom="0" percent="0" rank="0" text="" dxfId="4">
      <formula>AND(G7&lt;&gt;"",G7&lt;TODAY(),I7&lt;&gt;"Pago",I7&lt;&gt;"Cancelado")</formula>
    </cfRule>
    <cfRule type="expression" priority="7" aboveAverage="0" equalAverage="0" bottom="0" percent="0" rank="0" text="" dxfId="5">
      <formula>AND(G7=TODAY(),I7&lt;&gt;"Cancelado")</formula>
    </cfRule>
  </conditionalFormatting>
  <dataValidations count="2">
    <dataValidation allowBlank="true" errorStyle="stop" operator="between" showDropDown="false" showErrorMessage="false" showInputMessage="false" sqref="I7:I56" type="list">
      <formula1>"Pendente,Parcial,Pago,Cancelado"</formula1>
      <formula2>0</formula2>
    </dataValidation>
    <dataValidation allowBlank="true" errorStyle="stop" operator="between" showDropDown="false" showErrorMessage="false" showInputMessage="false" sqref="L7:L56" type="list">
      <formula1>"PIX,Dinheiro,Cartão Crédito,Cartão Débito,Transferência"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25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25"/>
  </cols>
  <sheetData>
    <row r="2" customFormat="false" ht="21.75" hidden="false" customHeight="true" outlineLevel="0" collapsed="false">
      <c r="B2" s="1" t="s">
        <v>25</v>
      </c>
      <c r="C2" s="1"/>
      <c r="D2" s="1"/>
      <c r="E2" s="1"/>
      <c r="F2" s="1"/>
      <c r="G2" s="1"/>
    </row>
    <row r="3" customFormat="false" ht="21.75" hidden="false" customHeight="true" outlineLevel="0" collapsed="false">
      <c r="B3" s="1"/>
      <c r="C3" s="1"/>
      <c r="D3" s="1"/>
      <c r="E3" s="1"/>
      <c r="F3" s="1"/>
      <c r="G3" s="1"/>
    </row>
    <row r="4" customFormat="false" ht="19.5" hidden="false" customHeight="true" outlineLevel="0" collapsed="false">
      <c r="B4" s="16" t="s">
        <v>26</v>
      </c>
      <c r="C4" s="16"/>
      <c r="D4" s="16"/>
      <c r="E4" s="16"/>
      <c r="F4" s="16"/>
      <c r="G4" s="16"/>
    </row>
    <row r="6" customFormat="false" ht="31.5" hidden="false" customHeight="true" outlineLevel="0" collapsed="false">
      <c r="B6" s="17" t="s">
        <v>13</v>
      </c>
      <c r="C6" s="17" t="s">
        <v>27</v>
      </c>
      <c r="D6" s="17" t="s">
        <v>14</v>
      </c>
      <c r="E6" s="17" t="s">
        <v>28</v>
      </c>
      <c r="F6" s="17" t="s">
        <v>29</v>
      </c>
      <c r="G6" s="17" t="s">
        <v>30</v>
      </c>
    </row>
    <row r="7" customFormat="false" ht="21.75" hidden="false" customHeight="true" outlineLevel="0" collapsed="false">
      <c r="B7" s="18" t="str">
        <f aca="false">IF(C7="","",ROW()-6)</f>
        <v/>
      </c>
      <c r="C7" s="19"/>
      <c r="D7" s="19"/>
      <c r="E7" s="19"/>
      <c r="F7" s="26"/>
      <c r="G7" s="19"/>
    </row>
    <row r="8" customFormat="false" ht="21.75" hidden="false" customHeight="true" outlineLevel="0" collapsed="false">
      <c r="B8" s="10" t="str">
        <f aca="false">IF(C8="","",ROW()-6)</f>
        <v/>
      </c>
      <c r="C8" s="9"/>
      <c r="D8" s="9"/>
      <c r="E8" s="9"/>
      <c r="F8" s="27"/>
      <c r="G8" s="9"/>
    </row>
    <row r="9" customFormat="false" ht="21.75" hidden="false" customHeight="true" outlineLevel="0" collapsed="false">
      <c r="B9" s="18" t="str">
        <f aca="false">IF(C9="","",ROW()-6)</f>
        <v/>
      </c>
      <c r="C9" s="19"/>
      <c r="D9" s="19"/>
      <c r="E9" s="19"/>
      <c r="F9" s="26"/>
      <c r="G9" s="19"/>
    </row>
    <row r="10" customFormat="false" ht="21.75" hidden="false" customHeight="true" outlineLevel="0" collapsed="false">
      <c r="B10" s="10" t="str">
        <f aca="false">IF(C10="","",ROW()-6)</f>
        <v/>
      </c>
      <c r="C10" s="9"/>
      <c r="D10" s="9"/>
      <c r="E10" s="9"/>
      <c r="F10" s="27"/>
      <c r="G10" s="9"/>
    </row>
    <row r="11" customFormat="false" ht="21.75" hidden="false" customHeight="true" outlineLevel="0" collapsed="false">
      <c r="B11" s="18" t="str">
        <f aca="false">IF(C11="","",ROW()-6)</f>
        <v/>
      </c>
      <c r="C11" s="19"/>
      <c r="D11" s="19"/>
      <c r="E11" s="19"/>
      <c r="F11" s="26"/>
      <c r="G11" s="19"/>
    </row>
    <row r="12" customFormat="false" ht="21.75" hidden="false" customHeight="true" outlineLevel="0" collapsed="false">
      <c r="B12" s="10" t="str">
        <f aca="false">IF(C12="","",ROW()-6)</f>
        <v/>
      </c>
      <c r="C12" s="9"/>
      <c r="D12" s="9"/>
      <c r="E12" s="9"/>
      <c r="F12" s="27"/>
      <c r="G12" s="9"/>
    </row>
    <row r="13" customFormat="false" ht="21.75" hidden="false" customHeight="true" outlineLevel="0" collapsed="false">
      <c r="B13" s="18" t="str">
        <f aca="false">IF(C13="","",ROW()-6)</f>
        <v/>
      </c>
      <c r="C13" s="19"/>
      <c r="D13" s="19"/>
      <c r="E13" s="19"/>
      <c r="F13" s="26"/>
      <c r="G13" s="19"/>
    </row>
    <row r="14" customFormat="false" ht="21.75" hidden="false" customHeight="true" outlineLevel="0" collapsed="false">
      <c r="B14" s="10" t="str">
        <f aca="false">IF(C14="","",ROW()-6)</f>
        <v/>
      </c>
      <c r="C14" s="9"/>
      <c r="D14" s="9"/>
      <c r="E14" s="9"/>
      <c r="F14" s="27"/>
      <c r="G14" s="9"/>
    </row>
    <row r="15" customFormat="false" ht="21.75" hidden="false" customHeight="true" outlineLevel="0" collapsed="false">
      <c r="B15" s="18" t="str">
        <f aca="false">IF(C15="","",ROW()-6)</f>
        <v/>
      </c>
      <c r="C15" s="19"/>
      <c r="D15" s="19"/>
      <c r="E15" s="19"/>
      <c r="F15" s="26"/>
      <c r="G15" s="19"/>
    </row>
    <row r="16" customFormat="false" ht="21.75" hidden="false" customHeight="true" outlineLevel="0" collapsed="false">
      <c r="B16" s="10" t="str">
        <f aca="false">IF(C16="","",ROW()-6)</f>
        <v/>
      </c>
      <c r="C16" s="9"/>
      <c r="D16" s="9"/>
      <c r="E16" s="9"/>
      <c r="F16" s="27"/>
      <c r="G16" s="9"/>
    </row>
    <row r="17" customFormat="false" ht="21.75" hidden="false" customHeight="true" outlineLevel="0" collapsed="false">
      <c r="B17" s="18" t="str">
        <f aca="false">IF(C17="","",ROW()-6)</f>
        <v/>
      </c>
      <c r="C17" s="19"/>
      <c r="D17" s="19"/>
      <c r="E17" s="19"/>
      <c r="F17" s="26"/>
      <c r="G17" s="19"/>
    </row>
    <row r="18" customFormat="false" ht="21.75" hidden="false" customHeight="true" outlineLevel="0" collapsed="false">
      <c r="B18" s="10" t="str">
        <f aca="false">IF(C18="","",ROW()-6)</f>
        <v/>
      </c>
      <c r="C18" s="9"/>
      <c r="D18" s="9"/>
      <c r="E18" s="9"/>
      <c r="F18" s="27"/>
      <c r="G18" s="9"/>
    </row>
    <row r="19" customFormat="false" ht="21.75" hidden="false" customHeight="true" outlineLevel="0" collapsed="false">
      <c r="B19" s="18" t="str">
        <f aca="false">IF(C19="","",ROW()-6)</f>
        <v/>
      </c>
      <c r="C19" s="19"/>
      <c r="D19" s="19"/>
      <c r="E19" s="19"/>
      <c r="F19" s="26"/>
      <c r="G19" s="19"/>
    </row>
    <row r="20" customFormat="false" ht="21.75" hidden="false" customHeight="true" outlineLevel="0" collapsed="false">
      <c r="B20" s="10" t="str">
        <f aca="false">IF(C20="","",ROW()-6)</f>
        <v/>
      </c>
      <c r="C20" s="9"/>
      <c r="D20" s="9"/>
      <c r="E20" s="9"/>
      <c r="F20" s="27"/>
      <c r="G20" s="9"/>
    </row>
    <row r="21" customFormat="false" ht="21.75" hidden="false" customHeight="true" outlineLevel="0" collapsed="false">
      <c r="B21" s="18" t="str">
        <f aca="false">IF(C21="","",ROW()-6)</f>
        <v/>
      </c>
      <c r="C21" s="19"/>
      <c r="D21" s="19"/>
      <c r="E21" s="19"/>
      <c r="F21" s="26"/>
      <c r="G21" s="19"/>
    </row>
    <row r="22" customFormat="false" ht="21.75" hidden="false" customHeight="true" outlineLevel="0" collapsed="false">
      <c r="B22" s="10" t="str">
        <f aca="false">IF(C22="","",ROW()-6)</f>
        <v/>
      </c>
      <c r="C22" s="9"/>
      <c r="D22" s="9"/>
      <c r="E22" s="9"/>
      <c r="F22" s="27"/>
      <c r="G22" s="9"/>
    </row>
    <row r="23" customFormat="false" ht="21.75" hidden="false" customHeight="true" outlineLevel="0" collapsed="false">
      <c r="B23" s="18" t="str">
        <f aca="false">IF(C23="","",ROW()-6)</f>
        <v/>
      </c>
      <c r="C23" s="19"/>
      <c r="D23" s="19"/>
      <c r="E23" s="19"/>
      <c r="F23" s="26"/>
      <c r="G23" s="19"/>
    </row>
    <row r="24" customFormat="false" ht="21.75" hidden="false" customHeight="true" outlineLevel="0" collapsed="false">
      <c r="B24" s="10" t="str">
        <f aca="false">IF(C24="","",ROW()-6)</f>
        <v/>
      </c>
      <c r="C24" s="9"/>
      <c r="D24" s="9"/>
      <c r="E24" s="9"/>
      <c r="F24" s="27"/>
      <c r="G24" s="9"/>
    </row>
    <row r="25" customFormat="false" ht="21.75" hidden="false" customHeight="true" outlineLevel="0" collapsed="false">
      <c r="B25" s="18" t="str">
        <f aca="false">IF(C25="","",ROW()-6)</f>
        <v/>
      </c>
      <c r="C25" s="19"/>
      <c r="D25" s="19"/>
      <c r="E25" s="19"/>
      <c r="F25" s="26"/>
      <c r="G25" s="19"/>
    </row>
    <row r="26" customFormat="false" ht="21.75" hidden="false" customHeight="true" outlineLevel="0" collapsed="false">
      <c r="B26" s="10" t="str">
        <f aca="false">IF(C26="","",ROW()-6)</f>
        <v/>
      </c>
      <c r="C26" s="9"/>
      <c r="D26" s="9"/>
      <c r="E26" s="9"/>
      <c r="F26" s="27"/>
      <c r="G26" s="9"/>
    </row>
    <row r="27" customFormat="false" ht="21.75" hidden="false" customHeight="true" outlineLevel="0" collapsed="false">
      <c r="B27" s="18" t="str">
        <f aca="false">IF(C27="","",ROW()-6)</f>
        <v/>
      </c>
      <c r="C27" s="19"/>
      <c r="D27" s="19"/>
      <c r="E27" s="19"/>
      <c r="F27" s="26"/>
      <c r="G27" s="19"/>
    </row>
    <row r="28" customFormat="false" ht="21.75" hidden="false" customHeight="true" outlineLevel="0" collapsed="false">
      <c r="B28" s="10" t="str">
        <f aca="false">IF(C28="","",ROW()-6)</f>
        <v/>
      </c>
      <c r="C28" s="9"/>
      <c r="D28" s="9"/>
      <c r="E28" s="9"/>
      <c r="F28" s="27"/>
      <c r="G28" s="9"/>
    </row>
    <row r="29" customFormat="false" ht="21.75" hidden="false" customHeight="true" outlineLevel="0" collapsed="false">
      <c r="B29" s="18" t="str">
        <f aca="false">IF(C29="","",ROW()-6)</f>
        <v/>
      </c>
      <c r="C29" s="19"/>
      <c r="D29" s="19"/>
      <c r="E29" s="19"/>
      <c r="F29" s="26"/>
      <c r="G29" s="19"/>
    </row>
    <row r="30" customFormat="false" ht="21.75" hidden="false" customHeight="true" outlineLevel="0" collapsed="false">
      <c r="B30" s="10" t="str">
        <f aca="false">IF(C30="","",ROW()-6)</f>
        <v/>
      </c>
      <c r="C30" s="9"/>
      <c r="D30" s="9"/>
      <c r="E30" s="9"/>
      <c r="F30" s="27"/>
      <c r="G30" s="9"/>
    </row>
    <row r="31" customFormat="false" ht="21.75" hidden="false" customHeight="true" outlineLevel="0" collapsed="false">
      <c r="B31" s="18" t="str">
        <f aca="false">IF(C31="","",ROW()-6)</f>
        <v/>
      </c>
      <c r="C31" s="19"/>
      <c r="D31" s="19"/>
      <c r="E31" s="19"/>
      <c r="F31" s="26"/>
      <c r="G31" s="19"/>
    </row>
    <row r="32" customFormat="false" ht="21.75" hidden="false" customHeight="true" outlineLevel="0" collapsed="false">
      <c r="B32" s="10" t="str">
        <f aca="false">IF(C32="","",ROW()-6)</f>
        <v/>
      </c>
      <c r="C32" s="9"/>
      <c r="D32" s="9"/>
      <c r="E32" s="9"/>
      <c r="F32" s="27"/>
      <c r="G32" s="9"/>
    </row>
    <row r="33" customFormat="false" ht="21.75" hidden="false" customHeight="true" outlineLevel="0" collapsed="false">
      <c r="B33" s="18" t="str">
        <f aca="false">IF(C33="","",ROW()-6)</f>
        <v/>
      </c>
      <c r="C33" s="19"/>
      <c r="D33" s="19"/>
      <c r="E33" s="19"/>
      <c r="F33" s="26"/>
      <c r="G33" s="19"/>
    </row>
    <row r="34" customFormat="false" ht="21.75" hidden="false" customHeight="true" outlineLevel="0" collapsed="false">
      <c r="B34" s="10" t="str">
        <f aca="false">IF(C34="","",ROW()-6)</f>
        <v/>
      </c>
      <c r="C34" s="9"/>
      <c r="D34" s="9"/>
      <c r="E34" s="9"/>
      <c r="F34" s="27"/>
      <c r="G34" s="9"/>
    </row>
    <row r="35" customFormat="false" ht="21.75" hidden="false" customHeight="true" outlineLevel="0" collapsed="false">
      <c r="B35" s="18" t="str">
        <f aca="false">IF(C35="","",ROW()-6)</f>
        <v/>
      </c>
      <c r="C35" s="19"/>
      <c r="D35" s="19"/>
      <c r="E35" s="19"/>
      <c r="F35" s="26"/>
      <c r="G35" s="19"/>
    </row>
    <row r="36" customFormat="false" ht="21.75" hidden="false" customHeight="true" outlineLevel="0" collapsed="false">
      <c r="B36" s="10" t="str">
        <f aca="false">IF(C36="","",ROW()-6)</f>
        <v/>
      </c>
      <c r="C36" s="9"/>
      <c r="D36" s="9"/>
      <c r="E36" s="9"/>
      <c r="F36" s="27"/>
      <c r="G36" s="9"/>
    </row>
    <row r="37" customFormat="false" ht="21.75" hidden="false" customHeight="true" outlineLevel="0" collapsed="false">
      <c r="B37" s="18" t="str">
        <f aca="false">IF(C37="","",ROW()-6)</f>
        <v/>
      </c>
      <c r="C37" s="19"/>
      <c r="D37" s="19"/>
      <c r="E37" s="19"/>
      <c r="F37" s="26"/>
      <c r="G37" s="19"/>
    </row>
    <row r="38" customFormat="false" ht="21.75" hidden="false" customHeight="true" outlineLevel="0" collapsed="false">
      <c r="B38" s="10" t="str">
        <f aca="false">IF(C38="","",ROW()-6)</f>
        <v/>
      </c>
      <c r="C38" s="9"/>
      <c r="D38" s="9"/>
      <c r="E38" s="9"/>
      <c r="F38" s="27"/>
      <c r="G38" s="9"/>
    </row>
    <row r="39" customFormat="false" ht="21.75" hidden="false" customHeight="true" outlineLevel="0" collapsed="false">
      <c r="B39" s="18" t="str">
        <f aca="false">IF(C39="","",ROW()-6)</f>
        <v/>
      </c>
      <c r="C39" s="19"/>
      <c r="D39" s="19"/>
      <c r="E39" s="19"/>
      <c r="F39" s="26"/>
      <c r="G39" s="19"/>
    </row>
    <row r="40" customFormat="false" ht="21.75" hidden="false" customHeight="true" outlineLevel="0" collapsed="false">
      <c r="B40" s="10" t="str">
        <f aca="false">IF(C40="","",ROW()-6)</f>
        <v/>
      </c>
      <c r="C40" s="9"/>
      <c r="D40" s="9"/>
      <c r="E40" s="9"/>
      <c r="F40" s="27"/>
      <c r="G40" s="9"/>
    </row>
    <row r="41" customFormat="false" ht="21.75" hidden="false" customHeight="true" outlineLevel="0" collapsed="false">
      <c r="B41" s="18" t="str">
        <f aca="false">IF(C41="","",ROW()-6)</f>
        <v/>
      </c>
      <c r="C41" s="19"/>
      <c r="D41" s="19"/>
      <c r="E41" s="19"/>
      <c r="F41" s="26"/>
      <c r="G41" s="19"/>
    </row>
    <row r="42" customFormat="false" ht="21.75" hidden="false" customHeight="true" outlineLevel="0" collapsed="false">
      <c r="B42" s="10" t="str">
        <f aca="false">IF(C42="","",ROW()-6)</f>
        <v/>
      </c>
      <c r="C42" s="9"/>
      <c r="D42" s="9"/>
      <c r="E42" s="9"/>
      <c r="F42" s="27"/>
      <c r="G42" s="9"/>
    </row>
    <row r="43" customFormat="false" ht="21.75" hidden="false" customHeight="true" outlineLevel="0" collapsed="false">
      <c r="B43" s="18" t="str">
        <f aca="false">IF(C43="","",ROW()-6)</f>
        <v/>
      </c>
      <c r="C43" s="19"/>
      <c r="D43" s="19"/>
      <c r="E43" s="19"/>
      <c r="F43" s="26"/>
      <c r="G43" s="19"/>
    </row>
    <row r="44" customFormat="false" ht="21.75" hidden="false" customHeight="true" outlineLevel="0" collapsed="false">
      <c r="B44" s="10" t="str">
        <f aca="false">IF(C44="","",ROW()-6)</f>
        <v/>
      </c>
      <c r="C44" s="9"/>
      <c r="D44" s="9"/>
      <c r="E44" s="9"/>
      <c r="F44" s="27"/>
      <c r="G44" s="9"/>
    </row>
    <row r="45" customFormat="false" ht="21.75" hidden="false" customHeight="true" outlineLevel="0" collapsed="false">
      <c r="B45" s="18" t="str">
        <f aca="false">IF(C45="","",ROW()-6)</f>
        <v/>
      </c>
      <c r="C45" s="19"/>
      <c r="D45" s="19"/>
      <c r="E45" s="19"/>
      <c r="F45" s="26"/>
      <c r="G45" s="19"/>
    </row>
    <row r="46" customFormat="false" ht="21.75" hidden="false" customHeight="true" outlineLevel="0" collapsed="false">
      <c r="B46" s="10" t="str">
        <f aca="false">IF(C46="","",ROW()-6)</f>
        <v/>
      </c>
      <c r="C46" s="9"/>
      <c r="D46" s="9"/>
      <c r="E46" s="9"/>
      <c r="F46" s="27"/>
      <c r="G46" s="9"/>
    </row>
    <row r="47" customFormat="false" ht="21.75" hidden="false" customHeight="true" outlineLevel="0" collapsed="false">
      <c r="B47" s="18" t="str">
        <f aca="false">IF(C47="","",ROW()-6)</f>
        <v/>
      </c>
      <c r="C47" s="19"/>
      <c r="D47" s="19"/>
      <c r="E47" s="19"/>
      <c r="F47" s="26"/>
      <c r="G47" s="19"/>
    </row>
    <row r="48" customFormat="false" ht="21.75" hidden="false" customHeight="true" outlineLevel="0" collapsed="false">
      <c r="B48" s="10" t="str">
        <f aca="false">IF(C48="","",ROW()-6)</f>
        <v/>
      </c>
      <c r="C48" s="9"/>
      <c r="D48" s="9"/>
      <c r="E48" s="9"/>
      <c r="F48" s="27"/>
      <c r="G48" s="9"/>
    </row>
    <row r="49" customFormat="false" ht="21.75" hidden="false" customHeight="true" outlineLevel="0" collapsed="false">
      <c r="B49" s="18" t="str">
        <f aca="false">IF(C49="","",ROW()-6)</f>
        <v/>
      </c>
      <c r="C49" s="19"/>
      <c r="D49" s="19"/>
      <c r="E49" s="19"/>
      <c r="F49" s="26"/>
      <c r="G49" s="19"/>
    </row>
    <row r="50" customFormat="false" ht="21.75" hidden="false" customHeight="true" outlineLevel="0" collapsed="false">
      <c r="B50" s="10" t="str">
        <f aca="false">IF(C50="","",ROW()-6)</f>
        <v/>
      </c>
      <c r="C50" s="9"/>
      <c r="D50" s="9"/>
      <c r="E50" s="9"/>
      <c r="F50" s="27"/>
      <c r="G50" s="9"/>
    </row>
    <row r="51" customFormat="false" ht="21.75" hidden="false" customHeight="true" outlineLevel="0" collapsed="false">
      <c r="B51" s="18" t="str">
        <f aca="false">IF(C51="","",ROW()-6)</f>
        <v/>
      </c>
      <c r="C51" s="19"/>
      <c r="D51" s="19"/>
      <c r="E51" s="19"/>
      <c r="F51" s="26"/>
      <c r="G51" s="19"/>
    </row>
    <row r="52" customFormat="false" ht="21.75" hidden="false" customHeight="true" outlineLevel="0" collapsed="false">
      <c r="B52" s="10" t="str">
        <f aca="false">IF(C52="","",ROW()-6)</f>
        <v/>
      </c>
      <c r="C52" s="9"/>
      <c r="D52" s="9"/>
      <c r="E52" s="9"/>
      <c r="F52" s="27"/>
      <c r="G52" s="9"/>
    </row>
    <row r="53" customFormat="false" ht="21.75" hidden="false" customHeight="true" outlineLevel="0" collapsed="false">
      <c r="B53" s="18" t="str">
        <f aca="false">IF(C53="","",ROW()-6)</f>
        <v/>
      </c>
      <c r="C53" s="19"/>
      <c r="D53" s="19"/>
      <c r="E53" s="19"/>
      <c r="F53" s="26"/>
      <c r="G53" s="19"/>
    </row>
    <row r="54" customFormat="false" ht="21.75" hidden="false" customHeight="true" outlineLevel="0" collapsed="false">
      <c r="B54" s="10" t="str">
        <f aca="false">IF(C54="","",ROW()-6)</f>
        <v/>
      </c>
      <c r="C54" s="9"/>
      <c r="D54" s="9"/>
      <c r="E54" s="9"/>
      <c r="F54" s="27"/>
      <c r="G54" s="9"/>
    </row>
    <row r="55" customFormat="false" ht="21.75" hidden="false" customHeight="true" outlineLevel="0" collapsed="false">
      <c r="B55" s="18" t="str">
        <f aca="false">IF(C55="","",ROW()-6)</f>
        <v/>
      </c>
      <c r="C55" s="19"/>
      <c r="D55" s="19"/>
      <c r="E55" s="19"/>
      <c r="F55" s="26"/>
      <c r="G55" s="19"/>
    </row>
    <row r="56" customFormat="false" ht="21.75" hidden="false" customHeight="true" outlineLevel="0" collapsed="false">
      <c r="B56" s="10" t="str">
        <f aca="false">IF(C56="","",ROW()-6)</f>
        <v/>
      </c>
      <c r="C56" s="9"/>
      <c r="D56" s="9"/>
      <c r="E56" s="9"/>
      <c r="F56" s="27"/>
      <c r="G56" s="9"/>
    </row>
  </sheetData>
  <mergeCells count="2">
    <mergeCell ref="B2:G3"/>
    <mergeCell ref="B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0"/>
  </cols>
  <sheetData>
    <row r="2" customFormat="false" ht="21.75" hidden="false" customHeight="true" outlineLevel="0" collapsed="false">
      <c r="B2" s="1" t="s">
        <v>31</v>
      </c>
    </row>
    <row r="3" customFormat="false" ht="21.75" hidden="false" customHeight="true" outlineLevel="0" collapsed="false">
      <c r="B3" s="1"/>
    </row>
    <row r="6" customFormat="false" ht="27.75" hidden="false" customHeight="true" outlineLevel="0" collapsed="false">
      <c r="B6" s="28" t="s">
        <v>32</v>
      </c>
    </row>
    <row r="7" customFormat="false" ht="21.75" hidden="false" customHeight="true" outlineLevel="0" collapsed="false">
      <c r="B7" s="29" t="s">
        <v>33</v>
      </c>
    </row>
    <row r="9" customFormat="false" ht="27.75" hidden="false" customHeight="true" outlineLevel="0" collapsed="false">
      <c r="B9" s="28" t="s">
        <v>34</v>
      </c>
    </row>
    <row r="10" customFormat="false" ht="72" hidden="false" customHeight="true" outlineLevel="0" collapsed="false">
      <c r="B10" s="29" t="s">
        <v>35</v>
      </c>
    </row>
    <row r="12" customFormat="false" ht="27.75" hidden="false" customHeight="true" outlineLevel="0" collapsed="false">
      <c r="B12" s="28" t="s">
        <v>36</v>
      </c>
    </row>
    <row r="13" customFormat="false" ht="54" hidden="false" customHeight="true" outlineLevel="0" collapsed="false">
      <c r="B13" s="29" t="s">
        <v>37</v>
      </c>
    </row>
    <row r="15" customFormat="false" ht="27.75" hidden="false" customHeight="true" outlineLevel="0" collapsed="false">
      <c r="B15" s="28" t="s">
        <v>38</v>
      </c>
    </row>
    <row r="16" customFormat="false" ht="21.75" hidden="false" customHeight="true" outlineLevel="0" collapsed="false">
      <c r="B16" s="29" t="s">
        <v>39</v>
      </c>
    </row>
    <row r="18" customFormat="false" ht="27.75" hidden="false" customHeight="true" outlineLevel="0" collapsed="false">
      <c r="B18" s="28" t="s">
        <v>40</v>
      </c>
    </row>
    <row r="19" customFormat="false" ht="21.75" hidden="false" customHeight="true" outlineLevel="0" collapsed="false">
      <c r="B19" s="29" t="s">
        <v>41</v>
      </c>
    </row>
    <row r="21" customFormat="false" ht="27.75" hidden="false" customHeight="true" outlineLevel="0" collapsed="false">
      <c r="B21" s="28" t="s">
        <v>42</v>
      </c>
    </row>
    <row r="22" customFormat="false" ht="72" hidden="false" customHeight="true" outlineLevel="0" collapsed="false">
      <c r="B22" s="29" t="s">
        <v>43</v>
      </c>
    </row>
    <row r="24" customFormat="false" ht="27.75" hidden="false" customHeight="true" outlineLevel="0" collapsed="false">
      <c r="B24" s="28" t="s">
        <v>44</v>
      </c>
    </row>
    <row r="25" customFormat="false" ht="21.75" hidden="false" customHeight="true" outlineLevel="0" collapsed="false">
      <c r="B25" s="29" t="s">
        <v>45</v>
      </c>
    </row>
  </sheetData>
  <mergeCells count="1">
    <mergeCell ref="B2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2026-05-24T16:58:44Z</dcterms:created>
  <dc:creator>openpyxl</dc:creator>
  <dc:description/>
  <dc:language>en-US</dc:language>
  <cp:lastModifiedBy/>
  <dcterms:modified xsi:type="dcterms:W3CDTF">2026-05-24T16:58:44Z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